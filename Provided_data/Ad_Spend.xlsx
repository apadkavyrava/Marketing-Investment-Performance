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US" sheetId="2" r:id="rId5"/>
    <sheet state="visible" name="CA" sheetId="3" r:id="rId6"/>
    <sheet state="visible" name="UK" sheetId="4" r:id="rId7"/>
    <sheet state="visible" name="FR" sheetId="5" r:id="rId8"/>
  </sheets>
  <definedNames>
    <definedName name="FX">Overview!$B$1</definedName>
  </definedNames>
  <calcPr/>
  <extLst>
    <ext uri="GoogleSheetsCustomDataVersion2">
      <go:sheetsCustomData xmlns:go="http://customooxmlschemas.google.com/" r:id="rId9" roundtripDataChecksum="YYBo3SvpTtti55MSz3QhR5+0d4Dbh0i5uqMfkrRbADM="/>
    </ext>
  </extLst>
</workbook>
</file>

<file path=xl/sharedStrings.xml><?xml version="1.0" encoding="utf-8"?>
<sst xmlns="http://schemas.openxmlformats.org/spreadsheetml/2006/main" count="185" uniqueCount="59">
  <si>
    <t>https://www.epochconverter.com/weeks/2019</t>
  </si>
  <si>
    <t>Spend</t>
  </si>
  <si>
    <t>Installs</t>
  </si>
  <si>
    <t>Signups</t>
  </si>
  <si>
    <t>% Signups</t>
  </si>
  <si>
    <t>CAC</t>
  </si>
  <si>
    <t>Week Number</t>
  </si>
  <si>
    <t>US-Spend</t>
  </si>
  <si>
    <t>CA-Spend</t>
  </si>
  <si>
    <t>UK-Spend</t>
  </si>
  <si>
    <t>FR-Spend</t>
  </si>
  <si>
    <t>US-Installs</t>
  </si>
  <si>
    <t>CA-Installs</t>
  </si>
  <si>
    <t>UK-Installs</t>
  </si>
  <si>
    <t>FR-Installs</t>
  </si>
  <si>
    <t>US-Signups</t>
  </si>
  <si>
    <t>CA-Signups</t>
  </si>
  <si>
    <t>UK-Signups</t>
  </si>
  <si>
    <t>FR-Signups</t>
  </si>
  <si>
    <t>US-% Signups</t>
  </si>
  <si>
    <t>CA-% Signups</t>
  </si>
  <si>
    <t>UK-% Signups</t>
  </si>
  <si>
    <t>FR-% Signups</t>
  </si>
  <si>
    <t>US-CAC</t>
  </si>
  <si>
    <t>CA-CAC</t>
  </si>
  <si>
    <t>UK-CAC</t>
  </si>
  <si>
    <t>FR-CAC</t>
  </si>
  <si>
    <t>Total Spend</t>
  </si>
  <si>
    <t>Total Installs</t>
  </si>
  <si>
    <t>Total Signups</t>
  </si>
  <si>
    <t>% Signed up</t>
  </si>
  <si>
    <t>CPI</t>
  </si>
  <si>
    <t>FB-iOS-Spend</t>
  </si>
  <si>
    <t>FB-Android-Spend</t>
  </si>
  <si>
    <t>Google-iOS-Spend</t>
  </si>
  <si>
    <t>Google-Android-Spend</t>
  </si>
  <si>
    <t>Apple-Ads-Spend</t>
  </si>
  <si>
    <t>FB-iOS-Installs</t>
  </si>
  <si>
    <t>FB-Android-Installs</t>
  </si>
  <si>
    <t>Google-iOS-Installs</t>
  </si>
  <si>
    <t>Google-Android-Installs</t>
  </si>
  <si>
    <t>Apple-Ads-Installs</t>
  </si>
  <si>
    <t>FB-iOS-Signups</t>
  </si>
  <si>
    <t>FB-Android-Signups</t>
  </si>
  <si>
    <t>Google-iOS-Signups</t>
  </si>
  <si>
    <t>Google-Android-Signups</t>
  </si>
  <si>
    <t>Apple-Ads-Signups</t>
  </si>
  <si>
    <t>FB-iOS-%Signups</t>
  </si>
  <si>
    <t>FB-Android-%Signups</t>
  </si>
  <si>
    <t>Google-iOS-%Signups</t>
  </si>
  <si>
    <t>Google-Android-%Signups</t>
  </si>
  <si>
    <t>Apple-Ads-%Signups</t>
  </si>
  <si>
    <t>FB-iOS-CAC</t>
  </si>
  <si>
    <t>FB-Android-CAC</t>
  </si>
  <si>
    <t>Google-iOS-CAC</t>
  </si>
  <si>
    <t>Google-Android-CAC</t>
  </si>
  <si>
    <t>Apple-Ads-CAC</t>
  </si>
  <si>
    <t>%Signups</t>
  </si>
  <si>
    <t>Google-OS-Signups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</si>
</sst>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[$£]#,##0"/>
    <numFmt numFmtId="166" formatCode="[$£]#,##0.00"/>
  </numFmts>
  <fonts count="6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Inconsolata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164" xfId="0" applyFont="1" applyNumberFormat="1"/>
    <xf borderId="0" fillId="2" fontId="2" numFmtId="165" xfId="0" applyFont="1" applyNumberFormat="1"/>
    <xf borderId="0" fillId="3" fontId="2" numFmtId="0" xfId="0" applyFill="1" applyFont="1"/>
    <xf borderId="0" fillId="2" fontId="2" numFmtId="3" xfId="0" applyFont="1" applyNumberFormat="1"/>
    <xf borderId="0" fillId="3" fontId="2" numFmtId="3" xfId="0" applyFont="1" applyNumberFormat="1"/>
    <xf borderId="0" fillId="2" fontId="2" numFmtId="9" xfId="0" applyFont="1" applyNumberFormat="1"/>
    <xf borderId="0" fillId="4" fontId="2" numFmtId="166" xfId="0" applyFill="1" applyFont="1" applyNumberFormat="1"/>
    <xf borderId="0" fillId="4" fontId="2" numFmtId="0" xfId="0" applyFont="1"/>
    <xf borderId="0" fillId="5" fontId="2" numFmtId="0" xfId="0" applyFill="1" applyFont="1"/>
    <xf borderId="0" fillId="5" fontId="2" numFmtId="165" xfId="0" applyAlignment="1" applyFont="1" applyNumberFormat="1">
      <alignment readingOrder="0"/>
    </xf>
    <xf borderId="0" fillId="5" fontId="2" numFmtId="3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6" fontId="2" numFmtId="166" xfId="0" applyFill="1" applyFont="1" applyNumberFormat="1"/>
    <xf borderId="0" fillId="6" fontId="2" numFmtId="0" xfId="0" applyFont="1"/>
    <xf borderId="0" fillId="0" fontId="3" numFmtId="0" xfId="0" applyFont="1"/>
    <xf borderId="0" fillId="7" fontId="4" numFmtId="165" xfId="0" applyFill="1" applyFont="1" applyNumberFormat="1"/>
    <xf borderId="0" fillId="0" fontId="3" numFmtId="165" xfId="0" applyFont="1" applyNumberFormat="1"/>
    <xf borderId="0" fillId="3" fontId="3" numFmtId="0" xfId="0" applyFont="1"/>
    <xf borderId="0" fillId="7" fontId="4" numFmtId="3" xfId="0" applyFont="1" applyNumberFormat="1"/>
    <xf borderId="0" fillId="3" fontId="3" numFmtId="3" xfId="0" applyFont="1" applyNumberFormat="1"/>
    <xf borderId="0" fillId="7" fontId="4" numFmtId="9" xfId="0" applyFont="1" applyNumberFormat="1"/>
    <xf borderId="0" fillId="7" fontId="4" numFmtId="166" xfId="0" applyFont="1" applyNumberFormat="1"/>
    <xf borderId="0" fillId="4" fontId="3" numFmtId="166" xfId="0" applyFont="1" applyNumberFormat="1"/>
    <xf borderId="0" fillId="4" fontId="3" numFmtId="3" xfId="0" applyFont="1" applyNumberFormat="1"/>
    <xf borderId="0" fillId="4" fontId="3" numFmtId="10" xfId="0" applyFont="1" applyNumberFormat="1"/>
    <xf borderId="0" fillId="0" fontId="3" numFmtId="3" xfId="0" applyFont="1" applyNumberFormat="1"/>
    <xf borderId="0" fillId="0" fontId="3" numFmtId="9" xfId="0" applyFont="1" applyNumberFormat="1"/>
    <xf borderId="0" fillId="0" fontId="3" numFmtId="166" xfId="0" applyFont="1" applyNumberFormat="1"/>
    <xf borderId="0" fillId="4" fontId="3" numFmtId="0" xfId="0" applyFont="1"/>
    <xf borderId="0" fillId="2" fontId="2" numFmtId="0" xfId="0" applyFont="1"/>
    <xf borderId="0" fillId="2" fontId="2" numFmtId="0" xfId="0" applyAlignment="1" applyFont="1">
      <alignment readingOrder="0"/>
    </xf>
    <xf borderId="0" fillId="7" fontId="5" numFmtId="165" xfId="0" applyAlignment="1" applyFont="1" applyNumberFormat="1">
      <alignment horizontal="right" shrinkToFit="0" vertical="bottom" wrapText="0"/>
    </xf>
    <xf borderId="0" fillId="7" fontId="5" numFmtId="0" xfId="0" applyAlignment="1" applyFont="1">
      <alignment horizontal="right" shrinkToFit="0" vertical="bottom" wrapText="0"/>
    </xf>
    <xf borderId="0" fillId="7" fontId="5" numFmtId="3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pochconverter.com/weeks/2019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pochconverter.com/weeks/2019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pochconverter.com/weeks/2019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pochconverter.com/weeks/2019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pochconverter.com/weeks/2019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2" width="18.13"/>
  </cols>
  <sheetData>
    <row r="1" ht="15.75" customHeight="1">
      <c r="A1" s="1" t="s">
        <v>0</v>
      </c>
      <c r="B1" s="2">
        <v>1.28</v>
      </c>
      <c r="C1" s="3"/>
      <c r="D1" s="3" t="s">
        <v>1</v>
      </c>
      <c r="E1" s="3"/>
      <c r="F1" s="4"/>
      <c r="G1" s="5"/>
      <c r="H1" s="5"/>
      <c r="I1" s="5" t="s">
        <v>2</v>
      </c>
      <c r="J1" s="5"/>
      <c r="K1" s="6"/>
      <c r="L1" s="5"/>
      <c r="M1" s="5"/>
      <c r="N1" s="5" t="s">
        <v>3</v>
      </c>
      <c r="O1" s="5"/>
      <c r="P1" s="6"/>
      <c r="Q1" s="7"/>
      <c r="R1" s="7"/>
      <c r="S1" s="7" t="s">
        <v>4</v>
      </c>
      <c r="T1" s="7"/>
      <c r="U1" s="4"/>
      <c r="V1" s="5"/>
      <c r="W1" s="5"/>
      <c r="X1" s="5" t="s">
        <v>5</v>
      </c>
      <c r="Y1" s="5"/>
      <c r="Z1" s="4"/>
      <c r="AA1" s="8"/>
      <c r="AB1" s="9"/>
      <c r="AC1" s="9"/>
      <c r="AD1" s="9"/>
      <c r="AE1" s="8"/>
      <c r="AF1" s="8"/>
    </row>
    <row r="2" ht="15.75" customHeight="1">
      <c r="A2" s="10" t="s">
        <v>6</v>
      </c>
      <c r="B2" s="11" t="s">
        <v>7</v>
      </c>
      <c r="C2" s="11" t="s">
        <v>8</v>
      </c>
      <c r="D2" s="11" t="s">
        <v>9</v>
      </c>
      <c r="E2" s="11" t="s">
        <v>10</v>
      </c>
      <c r="F2" s="4"/>
      <c r="G2" s="12" t="s">
        <v>11</v>
      </c>
      <c r="H2" s="12" t="s">
        <v>12</v>
      </c>
      <c r="I2" s="12" t="s">
        <v>13</v>
      </c>
      <c r="J2" s="12" t="s">
        <v>14</v>
      </c>
      <c r="K2" s="6"/>
      <c r="L2" s="12" t="s">
        <v>15</v>
      </c>
      <c r="M2" s="12" t="s">
        <v>16</v>
      </c>
      <c r="N2" s="12" t="s">
        <v>17</v>
      </c>
      <c r="O2" s="12" t="s">
        <v>18</v>
      </c>
      <c r="P2" s="6"/>
      <c r="Q2" s="13" t="s">
        <v>19</v>
      </c>
      <c r="R2" s="13" t="s">
        <v>20</v>
      </c>
      <c r="S2" s="13" t="s">
        <v>21</v>
      </c>
      <c r="T2" s="13" t="s">
        <v>22</v>
      </c>
      <c r="U2" s="4"/>
      <c r="V2" s="12" t="s">
        <v>23</v>
      </c>
      <c r="W2" s="12" t="s">
        <v>24</v>
      </c>
      <c r="X2" s="12" t="s">
        <v>25</v>
      </c>
      <c r="Y2" s="12" t="s">
        <v>26</v>
      </c>
      <c r="Z2" s="4"/>
      <c r="AA2" s="14" t="s">
        <v>27</v>
      </c>
      <c r="AB2" s="15" t="s">
        <v>28</v>
      </c>
      <c r="AC2" s="15" t="s">
        <v>29</v>
      </c>
      <c r="AD2" s="15" t="s">
        <v>30</v>
      </c>
      <c r="AE2" s="14" t="s">
        <v>31</v>
      </c>
      <c r="AF2" s="14" t="s">
        <v>5</v>
      </c>
    </row>
    <row r="3" ht="15.75" customHeight="1">
      <c r="A3" s="16">
        <v>35.0</v>
      </c>
      <c r="B3" s="17">
        <f>sum(US!B3:US!E3)</f>
        <v>176.2</v>
      </c>
      <c r="C3" s="17">
        <f>sum(CA!B3:CA!E3)</f>
        <v>47.4</v>
      </c>
      <c r="D3" s="17">
        <f>sum(UK!B3:UK!E3)</f>
        <v>189</v>
      </c>
      <c r="E3" s="18">
        <f>sum(FR!B3:FR!E3)</f>
        <v>826.2</v>
      </c>
      <c r="F3" s="19"/>
      <c r="G3" s="20">
        <f>sum(US!H3:US!L3)</f>
        <v>374</v>
      </c>
      <c r="H3" s="20">
        <f>sum(CA!H3:CA!L3)</f>
        <v>145</v>
      </c>
      <c r="I3" s="20">
        <f>sum(UK!H3:UK!L3)</f>
        <v>370</v>
      </c>
      <c r="J3" s="20">
        <f>sum(FR!H3:FR!L3)</f>
        <v>3378</v>
      </c>
      <c r="K3" s="21"/>
      <c r="L3" s="20">
        <f>sum(US!N3:US!R3)</f>
        <v>216</v>
      </c>
      <c r="M3" s="20">
        <f>sum(CA!N3:CA!R3)</f>
        <v>76</v>
      </c>
      <c r="N3" s="20">
        <f>sum(UK!N3:UK!R3)</f>
        <v>193</v>
      </c>
      <c r="O3" s="20">
        <f>sum(FR!N3:FR!R3)</f>
        <v>1671</v>
      </c>
      <c r="P3" s="21"/>
      <c r="Q3" s="22">
        <f t="shared" ref="Q3:T3" si="1">if(G3&gt;0, L3/G3,"No installs")</f>
        <v>0.577540107</v>
      </c>
      <c r="R3" s="22">
        <f t="shared" si="1"/>
        <v>0.524137931</v>
      </c>
      <c r="S3" s="22">
        <f t="shared" si="1"/>
        <v>0.5216216216</v>
      </c>
      <c r="T3" s="22">
        <f t="shared" si="1"/>
        <v>0.4946714032</v>
      </c>
      <c r="U3" s="19"/>
      <c r="V3" s="23">
        <f t="shared" ref="V3:Y3" si="2">if(L3&gt;0,B3/L3,"No SignUps")</f>
        <v>0.8157407407</v>
      </c>
      <c r="W3" s="23">
        <f t="shared" si="2"/>
        <v>0.6236842105</v>
      </c>
      <c r="X3" s="23">
        <f t="shared" si="2"/>
        <v>0.9792746114</v>
      </c>
      <c r="Y3" s="23">
        <f t="shared" si="2"/>
        <v>0.4944344704</v>
      </c>
      <c r="Z3" s="19"/>
      <c r="AA3" s="24">
        <f t="shared" ref="AA3:AA23" si="5">SUM(B3:E3)</f>
        <v>1238.8</v>
      </c>
      <c r="AB3" s="25">
        <f t="shared" ref="AB3:AB23" si="6">SUM(G3:J3)</f>
        <v>4267</v>
      </c>
      <c r="AC3" s="25">
        <f t="shared" ref="AC3:AC23" si="7">SUM(L3:O3)</f>
        <v>2156</v>
      </c>
      <c r="AD3" s="26">
        <f t="shared" ref="AD3:AD23" si="8">AC3/AB3</f>
        <v>0.5052730255</v>
      </c>
      <c r="AE3" s="24">
        <f t="shared" ref="AE3:AE23" si="9">AA3/AB3</f>
        <v>0.2903210687</v>
      </c>
      <c r="AF3" s="24">
        <f t="shared" ref="AF3:AF23" si="10">AA3/AC3</f>
        <v>0.5745825603</v>
      </c>
    </row>
    <row r="4" ht="15.75" customHeight="1">
      <c r="A4" s="16">
        <v>36.0</v>
      </c>
      <c r="B4" s="17">
        <f>sum(US!B4:US!E4)</f>
        <v>1177.2</v>
      </c>
      <c r="C4" s="17">
        <f>sum(CA!B4:CA!E4)</f>
        <v>380.962</v>
      </c>
      <c r="D4" s="17">
        <f>sum(UK!B4:UK!E4)</f>
        <v>992.8</v>
      </c>
      <c r="E4" s="18">
        <f>sum(FR!B4:FR!E4)</f>
        <v>1926.4</v>
      </c>
      <c r="F4" s="19"/>
      <c r="G4" s="20">
        <f>sum(US!H4:US!L4)</f>
        <v>2442</v>
      </c>
      <c r="H4" s="20">
        <f>sum(CA!H4:CA!L4)</f>
        <v>897</v>
      </c>
      <c r="I4" s="20">
        <f>sum(UK!H4:UK!L4)</f>
        <v>2358</v>
      </c>
      <c r="J4" s="20">
        <f>sum(FR!H4:FR!L4)</f>
        <v>6240</v>
      </c>
      <c r="K4" s="21"/>
      <c r="L4" s="20">
        <f>sum(US!N4:US!R4)</f>
        <v>1547</v>
      </c>
      <c r="M4" s="20">
        <f>sum(CA!N4:CA!R4)</f>
        <v>548</v>
      </c>
      <c r="N4" s="20">
        <f>sum(UK!N4:UK!R4)</f>
        <v>1071</v>
      </c>
      <c r="O4" s="20">
        <f>sum(FR!N4:FR!R4)</f>
        <v>3216</v>
      </c>
      <c r="P4" s="21"/>
      <c r="Q4" s="22">
        <f t="shared" ref="Q4:T4" si="3">if(G4&gt;0, L4/G4,"No installs")</f>
        <v>0.6334971335</v>
      </c>
      <c r="R4" s="22">
        <f t="shared" si="3"/>
        <v>0.6109253066</v>
      </c>
      <c r="S4" s="22">
        <f t="shared" si="3"/>
        <v>0.4541984733</v>
      </c>
      <c r="T4" s="22">
        <f t="shared" si="3"/>
        <v>0.5153846154</v>
      </c>
      <c r="U4" s="19"/>
      <c r="V4" s="23">
        <f t="shared" ref="V4:Y4" si="4">if(L4&gt;0,B4/L4,"No SignUps")</f>
        <v>0.7609566904</v>
      </c>
      <c r="W4" s="23">
        <f t="shared" si="4"/>
        <v>0.6951861314</v>
      </c>
      <c r="X4" s="23">
        <f t="shared" si="4"/>
        <v>0.926984127</v>
      </c>
      <c r="Y4" s="23">
        <f t="shared" si="4"/>
        <v>0.5990049751</v>
      </c>
      <c r="Z4" s="19"/>
      <c r="AA4" s="24">
        <f t="shared" si="5"/>
        <v>4477.362</v>
      </c>
      <c r="AB4" s="25">
        <f t="shared" si="6"/>
        <v>11937</v>
      </c>
      <c r="AC4" s="25">
        <f t="shared" si="7"/>
        <v>6382</v>
      </c>
      <c r="AD4" s="26">
        <f t="shared" si="8"/>
        <v>0.5346401944</v>
      </c>
      <c r="AE4" s="24">
        <f t="shared" si="9"/>
        <v>0.3750826841</v>
      </c>
      <c r="AF4" s="24">
        <f t="shared" si="10"/>
        <v>0.7015609527</v>
      </c>
    </row>
    <row r="5" ht="15.75" customHeight="1">
      <c r="A5" s="16">
        <v>37.0</v>
      </c>
      <c r="B5" s="17">
        <f>sum(US!B5:US!E5)</f>
        <v>1006.6</v>
      </c>
      <c r="C5" s="17">
        <f>sum(CA!B5:CA!E5)</f>
        <v>424</v>
      </c>
      <c r="D5" s="17">
        <f>sum(UK!B5:UK!E5)</f>
        <v>788.4</v>
      </c>
      <c r="E5" s="18">
        <f>sum(FR!B5:FR!E5)</f>
        <v>2071.8</v>
      </c>
      <c r="F5" s="19"/>
      <c r="G5" s="20">
        <f>sum(US!H5:US!L5)</f>
        <v>2130</v>
      </c>
      <c r="H5" s="20">
        <f>sum(CA!H5:CA!L5)</f>
        <v>849</v>
      </c>
      <c r="I5" s="20">
        <f>sum(UK!H5:UK!L5)</f>
        <v>1921</v>
      </c>
      <c r="J5" s="20">
        <f>sum(FR!H5:FR!L5)</f>
        <v>6100</v>
      </c>
      <c r="K5" s="21"/>
      <c r="L5" s="20">
        <f>sum(US!N5:US!R5)</f>
        <v>1417</v>
      </c>
      <c r="M5" s="20">
        <f>sum(CA!N5:CA!R5)</f>
        <v>511</v>
      </c>
      <c r="N5" s="20">
        <f>sum(UK!N5:UK!R5)</f>
        <v>915</v>
      </c>
      <c r="O5" s="20">
        <f>sum(FR!N5:FR!R5)</f>
        <v>4008</v>
      </c>
      <c r="P5" s="21"/>
      <c r="Q5" s="22">
        <f t="shared" ref="Q5:T5" si="11">if(G5&gt;0, L5/G5,"No installs")</f>
        <v>0.665258216</v>
      </c>
      <c r="R5" s="22">
        <f t="shared" si="11"/>
        <v>0.6018845701</v>
      </c>
      <c r="S5" s="22">
        <f t="shared" si="11"/>
        <v>0.4763144196</v>
      </c>
      <c r="T5" s="22">
        <f t="shared" si="11"/>
        <v>0.6570491803</v>
      </c>
      <c r="U5" s="19"/>
      <c r="V5" s="23">
        <f t="shared" ref="V5:Y5" si="12">if(L5&gt;0,B5/L5,"No SignUps")</f>
        <v>0.7103740296</v>
      </c>
      <c r="W5" s="23">
        <f t="shared" si="12"/>
        <v>0.8297455969</v>
      </c>
      <c r="X5" s="23">
        <f t="shared" si="12"/>
        <v>0.8616393443</v>
      </c>
      <c r="Y5" s="23">
        <f t="shared" si="12"/>
        <v>0.5169161677</v>
      </c>
      <c r="Z5" s="19"/>
      <c r="AA5" s="24">
        <f t="shared" si="5"/>
        <v>4290.8</v>
      </c>
      <c r="AB5" s="25">
        <f t="shared" si="6"/>
        <v>11000</v>
      </c>
      <c r="AC5" s="25">
        <f t="shared" si="7"/>
        <v>6851</v>
      </c>
      <c r="AD5" s="26">
        <f t="shared" si="8"/>
        <v>0.6228181818</v>
      </c>
      <c r="AE5" s="24">
        <f t="shared" si="9"/>
        <v>0.3900727273</v>
      </c>
      <c r="AF5" s="24">
        <f t="shared" si="10"/>
        <v>0.6263027295</v>
      </c>
    </row>
    <row r="6" ht="15.75" customHeight="1">
      <c r="A6" s="16">
        <v>38.0</v>
      </c>
      <c r="B6" s="17">
        <f>sum(US!B6:US!E6)</f>
        <v>960.2</v>
      </c>
      <c r="C6" s="17">
        <f>sum(CA!B6:CA!E6)</f>
        <v>336</v>
      </c>
      <c r="D6" s="17">
        <f>sum(UK!B6:UK!E6)</f>
        <v>765.6</v>
      </c>
      <c r="E6" s="18">
        <f>sum(FR!B6:FR!E6)</f>
        <v>1378.2</v>
      </c>
      <c r="F6" s="19"/>
      <c r="G6" s="20">
        <f>sum(US!H6:US!L6)</f>
        <v>2084</v>
      </c>
      <c r="H6" s="20">
        <f>sum(CA!H6:CA!L6)</f>
        <v>744</v>
      </c>
      <c r="I6" s="20">
        <f>sum(UK!H6:UK!L6)</f>
        <v>1774</v>
      </c>
      <c r="J6" s="20">
        <f>sum(FR!H6:FR!L6)</f>
        <v>4161</v>
      </c>
      <c r="K6" s="21"/>
      <c r="L6" s="20">
        <f>sum(US!N6:US!R6)</f>
        <v>1214</v>
      </c>
      <c r="M6" s="20">
        <f>sum(CA!N6:CA!R6)</f>
        <v>478</v>
      </c>
      <c r="N6" s="20">
        <f>sum(UK!N6:UK!R6)</f>
        <v>886</v>
      </c>
      <c r="O6" s="20">
        <f>sum(FR!N6:FR!R6)</f>
        <v>2738</v>
      </c>
      <c r="P6" s="21"/>
      <c r="Q6" s="22">
        <f t="shared" ref="Q6:T6" si="13">if(G6&gt;0, L6/G6,"No installs")</f>
        <v>0.5825335893</v>
      </c>
      <c r="R6" s="22">
        <f t="shared" si="13"/>
        <v>0.6424731183</v>
      </c>
      <c r="S6" s="22">
        <f t="shared" si="13"/>
        <v>0.4994363021</v>
      </c>
      <c r="T6" s="22">
        <f t="shared" si="13"/>
        <v>0.6580149003</v>
      </c>
      <c r="U6" s="19"/>
      <c r="V6" s="23">
        <f t="shared" ref="V6:Y6" si="14">if(L6&gt;0,B6/L6,"No SignUps")</f>
        <v>0.7909390445</v>
      </c>
      <c r="W6" s="23">
        <f t="shared" si="14"/>
        <v>0.7029288703</v>
      </c>
      <c r="X6" s="23">
        <f t="shared" si="14"/>
        <v>0.8641083521</v>
      </c>
      <c r="Y6" s="23">
        <f t="shared" si="14"/>
        <v>0.5033601169</v>
      </c>
      <c r="Z6" s="19"/>
      <c r="AA6" s="24">
        <f t="shared" si="5"/>
        <v>3440</v>
      </c>
      <c r="AB6" s="25">
        <f t="shared" si="6"/>
        <v>8763</v>
      </c>
      <c r="AC6" s="25">
        <f t="shared" si="7"/>
        <v>5316</v>
      </c>
      <c r="AD6" s="26">
        <f t="shared" si="8"/>
        <v>0.6066415611</v>
      </c>
      <c r="AE6" s="24">
        <f t="shared" si="9"/>
        <v>0.3925596257</v>
      </c>
      <c r="AF6" s="24">
        <f t="shared" si="10"/>
        <v>0.647103085</v>
      </c>
    </row>
    <row r="7" ht="15.75" customHeight="1">
      <c r="A7" s="16">
        <v>39.0</v>
      </c>
      <c r="B7" s="17">
        <f>sum(US!B7:US!E7)</f>
        <v>827.2</v>
      </c>
      <c r="C7" s="17">
        <f>sum(CA!B7:CA!E7)</f>
        <v>301.4</v>
      </c>
      <c r="D7" s="17">
        <f>sum(UK!B7:UK!E7)</f>
        <v>685</v>
      </c>
      <c r="E7" s="18">
        <f>sum(FR!B7:FR!E7)</f>
        <v>1087.6</v>
      </c>
      <c r="F7" s="19"/>
      <c r="G7" s="20">
        <f>sum(US!H7:US!L7)</f>
        <v>2078</v>
      </c>
      <c r="H7" s="20">
        <f>sum(CA!H7:CA!L7)</f>
        <v>685</v>
      </c>
      <c r="I7" s="20">
        <f>sum(UK!H7:UK!L7)</f>
        <v>1796</v>
      </c>
      <c r="J7" s="20">
        <f>sum(FR!H7:FR!L7)</f>
        <v>3807</v>
      </c>
      <c r="K7" s="21"/>
      <c r="L7" s="20">
        <f>sum(US!N7:US!R7)</f>
        <v>1267</v>
      </c>
      <c r="M7" s="20">
        <f>sum(CA!N7:CA!R7)</f>
        <v>408</v>
      </c>
      <c r="N7" s="20">
        <f>sum(UK!N7:UK!R7)</f>
        <v>867</v>
      </c>
      <c r="O7" s="20">
        <f>sum(FR!N7:FR!R7)</f>
        <v>2381</v>
      </c>
      <c r="P7" s="21"/>
      <c r="Q7" s="22">
        <f t="shared" ref="Q7:T7" si="15">if(G7&gt;0, L7/G7,"No installs")</f>
        <v>0.6097208855</v>
      </c>
      <c r="R7" s="22">
        <f t="shared" si="15"/>
        <v>0.595620438</v>
      </c>
      <c r="S7" s="22">
        <f t="shared" si="15"/>
        <v>0.4827394209</v>
      </c>
      <c r="T7" s="22">
        <f t="shared" si="15"/>
        <v>0.6254268453</v>
      </c>
      <c r="U7" s="19"/>
      <c r="V7" s="23">
        <f t="shared" ref="V7:Y7" si="16">if(L7&gt;0,B7/L7,"No SignUps")</f>
        <v>0.6528808208</v>
      </c>
      <c r="W7" s="23">
        <f t="shared" si="16"/>
        <v>0.7387254902</v>
      </c>
      <c r="X7" s="23">
        <f t="shared" si="16"/>
        <v>0.7900807382</v>
      </c>
      <c r="Y7" s="23">
        <f t="shared" si="16"/>
        <v>0.4567828643</v>
      </c>
      <c r="Z7" s="19"/>
      <c r="AA7" s="24">
        <f t="shared" si="5"/>
        <v>2901.2</v>
      </c>
      <c r="AB7" s="25">
        <f t="shared" si="6"/>
        <v>8366</v>
      </c>
      <c r="AC7" s="25">
        <f t="shared" si="7"/>
        <v>4923</v>
      </c>
      <c r="AD7" s="26">
        <f t="shared" si="8"/>
        <v>0.5884532632</v>
      </c>
      <c r="AE7" s="24">
        <f t="shared" si="9"/>
        <v>0.3467846044</v>
      </c>
      <c r="AF7" s="24">
        <f t="shared" si="10"/>
        <v>0.5893154581</v>
      </c>
    </row>
    <row r="8" ht="15.75" customHeight="1">
      <c r="A8" s="16">
        <v>40.0</v>
      </c>
      <c r="B8" s="17">
        <f>sum(US!B8:US!E8)</f>
        <v>884.4</v>
      </c>
      <c r="C8" s="17">
        <f>sum(CA!B8:CA!E8)</f>
        <v>414.4</v>
      </c>
      <c r="D8" s="17">
        <f>sum(UK!B8:UK!E8)</f>
        <v>876</v>
      </c>
      <c r="E8" s="18">
        <f>sum(FR!B8:FR!E8)</f>
        <v>1362.8</v>
      </c>
      <c r="F8" s="19"/>
      <c r="G8" s="20">
        <f>sum(US!H8:US!L8)</f>
        <v>2058</v>
      </c>
      <c r="H8" s="20">
        <f>sum(CA!H8:CA!L8)</f>
        <v>908</v>
      </c>
      <c r="I8" s="20">
        <f>sum(UK!H8:UK!L8)</f>
        <v>2099</v>
      </c>
      <c r="J8" s="20">
        <f>sum(FR!H8:FR!L8)</f>
        <v>4767</v>
      </c>
      <c r="K8" s="21"/>
      <c r="L8" s="20">
        <f>sum(US!N8:US!R8)</f>
        <v>1299</v>
      </c>
      <c r="M8" s="20">
        <f>sum(CA!N8:CA!R8)</f>
        <v>596</v>
      </c>
      <c r="N8" s="20">
        <f>sum(UK!N8:UK!R8)</f>
        <v>1174</v>
      </c>
      <c r="O8" s="20">
        <f>sum(FR!N8:FR!R8)</f>
        <v>3146</v>
      </c>
      <c r="P8" s="21"/>
      <c r="Q8" s="22">
        <f t="shared" ref="Q8:T8" si="17">if(G8&gt;0, L8/G8,"No installs")</f>
        <v>0.6311953353</v>
      </c>
      <c r="R8" s="22">
        <f t="shared" si="17"/>
        <v>0.6563876652</v>
      </c>
      <c r="S8" s="22">
        <f t="shared" si="17"/>
        <v>0.559313959</v>
      </c>
      <c r="T8" s="22">
        <f t="shared" si="17"/>
        <v>0.6599538494</v>
      </c>
      <c r="U8" s="19"/>
      <c r="V8" s="23">
        <f t="shared" ref="V8:Y8" si="18">if(L8&gt;0,B8/L8,"No SignUps")</f>
        <v>0.6808314088</v>
      </c>
      <c r="W8" s="23">
        <f t="shared" si="18"/>
        <v>0.6953020134</v>
      </c>
      <c r="X8" s="23">
        <f t="shared" si="18"/>
        <v>0.7461669506</v>
      </c>
      <c r="Y8" s="23">
        <f t="shared" si="18"/>
        <v>0.4331849968</v>
      </c>
      <c r="Z8" s="19"/>
      <c r="AA8" s="24">
        <f t="shared" si="5"/>
        <v>3537.6</v>
      </c>
      <c r="AB8" s="25">
        <f t="shared" si="6"/>
        <v>9832</v>
      </c>
      <c r="AC8" s="25">
        <f t="shared" si="7"/>
        <v>6215</v>
      </c>
      <c r="AD8" s="26">
        <f t="shared" si="8"/>
        <v>0.6321196094</v>
      </c>
      <c r="AE8" s="24">
        <f t="shared" si="9"/>
        <v>0.3598047193</v>
      </c>
      <c r="AF8" s="24">
        <f t="shared" si="10"/>
        <v>0.5692035398</v>
      </c>
    </row>
    <row r="9" ht="15.75" customHeight="1">
      <c r="A9" s="16">
        <v>41.0</v>
      </c>
      <c r="B9" s="17">
        <f>sum(US!B9:US!E9)</f>
        <v>845.6</v>
      </c>
      <c r="C9" s="17">
        <f>sum(CA!B9:CA!E9)</f>
        <v>437.6</v>
      </c>
      <c r="D9" s="17">
        <f>sum(UK!B9:UK!E9)</f>
        <v>960.6</v>
      </c>
      <c r="E9" s="18">
        <f>sum(FR!B9:FR!E9)</f>
        <v>1241.4</v>
      </c>
      <c r="F9" s="19"/>
      <c r="G9" s="20">
        <f>sum(US!H9:US!L9)</f>
        <v>2070</v>
      </c>
      <c r="H9" s="20">
        <f>sum(CA!H9:CA!L9)</f>
        <v>994</v>
      </c>
      <c r="I9" s="20">
        <f>sum(UK!H9:UK!L9)</f>
        <v>2381</v>
      </c>
      <c r="J9" s="20">
        <f>sum(FR!H9:FR!L9)</f>
        <v>4557</v>
      </c>
      <c r="K9" s="21"/>
      <c r="L9" s="20">
        <f>sum(US!N9:US!R9)</f>
        <v>1283</v>
      </c>
      <c r="M9" s="20">
        <f>sum(CA!N9:CA!R9)</f>
        <v>618</v>
      </c>
      <c r="N9" s="20">
        <f>sum(UK!N9:UK!R9)</f>
        <v>1177</v>
      </c>
      <c r="O9" s="20">
        <f>sum(FR!N9:FR!R9)</f>
        <v>2906</v>
      </c>
      <c r="P9" s="21"/>
      <c r="Q9" s="22">
        <f t="shared" ref="Q9:T9" si="19">if(G9&gt;0, L9/G9,"No installs")</f>
        <v>0.6198067633</v>
      </c>
      <c r="R9" s="22">
        <f t="shared" si="19"/>
        <v>0.6217303823</v>
      </c>
      <c r="S9" s="22">
        <f t="shared" si="19"/>
        <v>0.4943301134</v>
      </c>
      <c r="T9" s="22">
        <f t="shared" si="19"/>
        <v>0.6377002414</v>
      </c>
      <c r="U9" s="19"/>
      <c r="V9" s="23">
        <f t="shared" ref="V9:Y9" si="20">if(L9&gt;0,B9/L9,"No SignUps")</f>
        <v>0.6590802806</v>
      </c>
      <c r="W9" s="23">
        <f t="shared" si="20"/>
        <v>0.7080906149</v>
      </c>
      <c r="X9" s="23">
        <f t="shared" si="20"/>
        <v>0.8161427358</v>
      </c>
      <c r="Y9" s="23">
        <f t="shared" si="20"/>
        <v>0.4271851342</v>
      </c>
      <c r="Z9" s="19"/>
      <c r="AA9" s="24">
        <f t="shared" si="5"/>
        <v>3485.2</v>
      </c>
      <c r="AB9" s="25">
        <f t="shared" si="6"/>
        <v>10002</v>
      </c>
      <c r="AC9" s="25">
        <f t="shared" si="7"/>
        <v>5984</v>
      </c>
      <c r="AD9" s="26">
        <f t="shared" si="8"/>
        <v>0.5982803439</v>
      </c>
      <c r="AE9" s="24">
        <f t="shared" si="9"/>
        <v>0.3484503099</v>
      </c>
      <c r="AF9" s="24">
        <f t="shared" si="10"/>
        <v>0.5824197861</v>
      </c>
    </row>
    <row r="10" ht="15.75" customHeight="1">
      <c r="A10" s="16">
        <v>42.0</v>
      </c>
      <c r="B10" s="17">
        <f>sum(US!B10:US!E10)</f>
        <v>1226</v>
      </c>
      <c r="C10" s="17">
        <f>sum(CA!B10:CA!E10)</f>
        <v>640.4</v>
      </c>
      <c r="D10" s="17">
        <f>sum(UK!B10:UK!E10)</f>
        <v>1026.4</v>
      </c>
      <c r="E10" s="18">
        <f>sum(FR!B10:FR!E10)</f>
        <v>1289.4</v>
      </c>
      <c r="F10" s="19"/>
      <c r="G10" s="20">
        <f>sum(US!H10:US!L10)</f>
        <v>2677</v>
      </c>
      <c r="H10" s="20">
        <f>sum(CA!H10:CA!L10)</f>
        <v>1506</v>
      </c>
      <c r="I10" s="20">
        <f>sum(UK!H10:UK!L10)</f>
        <v>2881</v>
      </c>
      <c r="J10" s="20">
        <f>sum(FR!H10:FR!L10)</f>
        <v>4733</v>
      </c>
      <c r="K10" s="21"/>
      <c r="L10" s="20">
        <f>sum(US!N10:US!R10)</f>
        <v>1461</v>
      </c>
      <c r="M10" s="20">
        <f>sum(CA!N10:CA!R10)</f>
        <v>759</v>
      </c>
      <c r="N10" s="20">
        <f>sum(UK!N10:UK!R10)</f>
        <v>1276</v>
      </c>
      <c r="O10" s="20">
        <f>sum(FR!N10:FR!R10)</f>
        <v>2811</v>
      </c>
      <c r="P10" s="21"/>
      <c r="Q10" s="22">
        <f t="shared" ref="Q10:T10" si="21">if(G10&gt;0, L10/G10,"No installs")</f>
        <v>0.5457601793</v>
      </c>
      <c r="R10" s="22">
        <f t="shared" si="21"/>
        <v>0.5039840637</v>
      </c>
      <c r="S10" s="22">
        <f t="shared" si="21"/>
        <v>0.4429017702</v>
      </c>
      <c r="T10" s="22">
        <f t="shared" si="21"/>
        <v>0.5939150644</v>
      </c>
      <c r="U10" s="19"/>
      <c r="V10" s="23">
        <f t="shared" ref="V10:Y10" si="22">if(L10&gt;0,B10/L10,"No SignUps")</f>
        <v>0.8391512663</v>
      </c>
      <c r="W10" s="23">
        <f t="shared" si="22"/>
        <v>0.8437417655</v>
      </c>
      <c r="X10" s="23">
        <f t="shared" si="22"/>
        <v>0.8043887147</v>
      </c>
      <c r="Y10" s="23">
        <f t="shared" si="22"/>
        <v>0.4586979723</v>
      </c>
      <c r="Z10" s="19"/>
      <c r="AA10" s="24">
        <f t="shared" si="5"/>
        <v>4182.2</v>
      </c>
      <c r="AB10" s="25">
        <f t="shared" si="6"/>
        <v>11797</v>
      </c>
      <c r="AC10" s="25">
        <f t="shared" si="7"/>
        <v>6307</v>
      </c>
      <c r="AD10" s="26">
        <f t="shared" si="8"/>
        <v>0.5346274477</v>
      </c>
      <c r="AE10" s="24">
        <f t="shared" si="9"/>
        <v>0.3545138595</v>
      </c>
      <c r="AF10" s="24">
        <f t="shared" si="10"/>
        <v>0.6631044871</v>
      </c>
    </row>
    <row r="11" ht="15.75" customHeight="1">
      <c r="A11" s="16">
        <v>43.0</v>
      </c>
      <c r="B11" s="17">
        <f>sum(US!B11:US!E11)</f>
        <v>821.6</v>
      </c>
      <c r="C11" s="17">
        <f>sum(CA!B11:CA!E11)</f>
        <v>573.2</v>
      </c>
      <c r="D11" s="17">
        <f>sum(UK!B11:UK!E11)</f>
        <v>603.772</v>
      </c>
      <c r="E11" s="18">
        <f>sum(FR!B11:FR!E11)</f>
        <v>1216.8</v>
      </c>
      <c r="F11" s="19"/>
      <c r="G11" s="20">
        <f>sum(US!H11:US!L11)</f>
        <v>1910</v>
      </c>
      <c r="H11" s="20">
        <f>sum(CA!H11:CA!L11)</f>
        <v>1469</v>
      </c>
      <c r="I11" s="20">
        <f>sum(UK!H11:UK!L11)</f>
        <v>1769</v>
      </c>
      <c r="J11" s="20">
        <f>sum(FR!H11:FR!L11)</f>
        <v>4716</v>
      </c>
      <c r="K11" s="21"/>
      <c r="L11" s="20">
        <f>sum(US!N11:US!R11)</f>
        <v>1133</v>
      </c>
      <c r="M11" s="20">
        <f>sum(CA!N11:CA!R11)</f>
        <v>799</v>
      </c>
      <c r="N11" s="20">
        <f>sum(UK!N11:UK!R11)</f>
        <v>766</v>
      </c>
      <c r="O11" s="20">
        <f>sum(FR!N11:FR!R11)</f>
        <v>2727</v>
      </c>
      <c r="P11" s="21"/>
      <c r="Q11" s="22">
        <f t="shared" ref="Q11:T11" si="23">if(G11&gt;0, L11/G11,"No installs")</f>
        <v>0.5931937173</v>
      </c>
      <c r="R11" s="22">
        <f t="shared" si="23"/>
        <v>0.54390742</v>
      </c>
      <c r="S11" s="22">
        <f t="shared" si="23"/>
        <v>0.4330130017</v>
      </c>
      <c r="T11" s="22">
        <f t="shared" si="23"/>
        <v>0.5782442748</v>
      </c>
      <c r="U11" s="19"/>
      <c r="V11" s="23">
        <f t="shared" ref="V11:Y11" si="24">if(L11&gt;0,B11/L11,"No SignUps")</f>
        <v>0.7251544572</v>
      </c>
      <c r="W11" s="23">
        <f t="shared" si="24"/>
        <v>0.7173967459</v>
      </c>
      <c r="X11" s="23">
        <f t="shared" si="24"/>
        <v>0.7882140992</v>
      </c>
      <c r="Y11" s="23">
        <f t="shared" si="24"/>
        <v>0.4462046205</v>
      </c>
      <c r="Z11" s="19"/>
      <c r="AA11" s="24">
        <f t="shared" si="5"/>
        <v>3215.372</v>
      </c>
      <c r="AB11" s="25">
        <f t="shared" si="6"/>
        <v>9864</v>
      </c>
      <c r="AC11" s="25">
        <f t="shared" si="7"/>
        <v>5425</v>
      </c>
      <c r="AD11" s="26">
        <f t="shared" si="8"/>
        <v>0.5499797242</v>
      </c>
      <c r="AE11" s="24">
        <f t="shared" si="9"/>
        <v>0.3259703974</v>
      </c>
      <c r="AF11" s="24">
        <f t="shared" si="10"/>
        <v>0.5926952995</v>
      </c>
    </row>
    <row r="12" ht="15.75" customHeight="1">
      <c r="A12" s="16">
        <v>44.0</v>
      </c>
      <c r="B12" s="17">
        <f>sum(US!B12:US!E12)</f>
        <v>1075.4</v>
      </c>
      <c r="C12" s="17">
        <f>sum(CA!B12:CA!E12)</f>
        <v>649.6</v>
      </c>
      <c r="D12" s="17">
        <f>sum(UK!B12:UK!E12)</f>
        <v>1156.8</v>
      </c>
      <c r="E12" s="18">
        <f>sum(FR!B12:FR!E12)</f>
        <v>1346</v>
      </c>
      <c r="F12" s="19"/>
      <c r="G12" s="20">
        <f>sum(US!H12:US!L12)</f>
        <v>2423</v>
      </c>
      <c r="H12" s="20">
        <f>sum(CA!H12:CA!L12)</f>
        <v>1442</v>
      </c>
      <c r="I12" s="20">
        <f>sum(UK!H12:UK!L12)</f>
        <v>2747</v>
      </c>
      <c r="J12" s="20">
        <f>sum(FR!H12:FR!L12)</f>
        <v>5217</v>
      </c>
      <c r="K12" s="21"/>
      <c r="L12" s="20">
        <f>sum(US!N12:US!R12)</f>
        <v>1446</v>
      </c>
      <c r="M12" s="20">
        <f>sum(CA!N12:CA!R12)</f>
        <v>849</v>
      </c>
      <c r="N12" s="20">
        <f>sum(UK!N12:UK!R12)</f>
        <v>1421</v>
      </c>
      <c r="O12" s="20">
        <f>sum(FR!N12:FR!R12)</f>
        <v>2933</v>
      </c>
      <c r="P12" s="21"/>
      <c r="Q12" s="22">
        <f t="shared" ref="Q12:T12" si="25">if(G12&gt;0, L12/G12,"No installs")</f>
        <v>0.5967808502</v>
      </c>
      <c r="R12" s="22">
        <f t="shared" si="25"/>
        <v>0.5887656033</v>
      </c>
      <c r="S12" s="22">
        <f t="shared" si="25"/>
        <v>0.5172915908</v>
      </c>
      <c r="T12" s="22">
        <f t="shared" si="25"/>
        <v>0.5622004984</v>
      </c>
      <c r="U12" s="19"/>
      <c r="V12" s="23">
        <f t="shared" ref="V12:Y12" si="26">if(L12&gt;0,B12/L12,"No SignUps")</f>
        <v>0.7437067773</v>
      </c>
      <c r="W12" s="23">
        <f t="shared" si="26"/>
        <v>0.7651354535</v>
      </c>
      <c r="X12" s="23">
        <f t="shared" si="26"/>
        <v>0.8140745954</v>
      </c>
      <c r="Y12" s="23">
        <f t="shared" si="26"/>
        <v>0.4589157859</v>
      </c>
      <c r="Z12" s="19"/>
      <c r="AA12" s="24">
        <f t="shared" si="5"/>
        <v>4227.8</v>
      </c>
      <c r="AB12" s="25">
        <f t="shared" si="6"/>
        <v>11829</v>
      </c>
      <c r="AC12" s="25">
        <f t="shared" si="7"/>
        <v>6649</v>
      </c>
      <c r="AD12" s="26">
        <f t="shared" si="8"/>
        <v>0.5620931609</v>
      </c>
      <c r="AE12" s="24">
        <f t="shared" si="9"/>
        <v>0.3574097557</v>
      </c>
      <c r="AF12" s="24">
        <f t="shared" si="10"/>
        <v>0.6358550158</v>
      </c>
    </row>
    <row r="13" ht="15.75" customHeight="1">
      <c r="A13" s="16">
        <v>45.0</v>
      </c>
      <c r="B13" s="17">
        <f>sum(US!B13:US!E13)</f>
        <v>1105</v>
      </c>
      <c r="C13" s="17">
        <f>sum(CA!B13:CA!E13)</f>
        <v>749.2</v>
      </c>
      <c r="D13" s="17">
        <f>sum(UK!B13:UK!E13)</f>
        <v>1813.2</v>
      </c>
      <c r="E13" s="18">
        <f>sum(FR!B13:FR!E13)</f>
        <v>1363.8</v>
      </c>
      <c r="F13" s="19"/>
      <c r="G13" s="20">
        <f>sum(US!H13:US!L13)</f>
        <v>2495</v>
      </c>
      <c r="H13" s="20">
        <f>sum(CA!H13:CA!L13)</f>
        <v>1808</v>
      </c>
      <c r="I13" s="20">
        <f>sum(UK!H13:UK!L13)</f>
        <v>5832</v>
      </c>
      <c r="J13" s="20">
        <f>sum(FR!H13:FR!L13)</f>
        <v>5258</v>
      </c>
      <c r="K13" s="21"/>
      <c r="L13" s="20">
        <f>sum(US!N13:US!R13)</f>
        <v>1573</v>
      </c>
      <c r="M13" s="20">
        <f>sum(CA!N13:CA!R13)</f>
        <v>943</v>
      </c>
      <c r="N13" s="20">
        <f>sum(UK!N13:UK!R13)</f>
        <v>2804</v>
      </c>
      <c r="O13" s="20">
        <f>sum(FR!N13:FR!R13)</f>
        <v>2999</v>
      </c>
      <c r="P13" s="21"/>
      <c r="Q13" s="22">
        <f t="shared" ref="Q13:T13" si="27">if(G13&gt;0, L13/G13,"No installs")</f>
        <v>0.6304609218</v>
      </c>
      <c r="R13" s="22">
        <f t="shared" si="27"/>
        <v>0.5215707965</v>
      </c>
      <c r="S13" s="22">
        <f t="shared" si="27"/>
        <v>0.4807956104</v>
      </c>
      <c r="T13" s="22">
        <f t="shared" si="27"/>
        <v>0.5703689616</v>
      </c>
      <c r="U13" s="19"/>
      <c r="V13" s="23">
        <f t="shared" ref="V13:Y13" si="28">if(L13&gt;0,B13/L13,"No SignUps")</f>
        <v>0.7024793388</v>
      </c>
      <c r="W13" s="23">
        <f t="shared" si="28"/>
        <v>0.794485684</v>
      </c>
      <c r="X13" s="23">
        <f t="shared" si="28"/>
        <v>0.6466476462</v>
      </c>
      <c r="Y13" s="23">
        <f t="shared" si="28"/>
        <v>0.4547515839</v>
      </c>
      <c r="Z13" s="19"/>
      <c r="AA13" s="24">
        <f t="shared" si="5"/>
        <v>5031.2</v>
      </c>
      <c r="AB13" s="25">
        <f t="shared" si="6"/>
        <v>15393</v>
      </c>
      <c r="AC13" s="25">
        <f t="shared" si="7"/>
        <v>8319</v>
      </c>
      <c r="AD13" s="26">
        <f t="shared" si="8"/>
        <v>0.5404404599</v>
      </c>
      <c r="AE13" s="24">
        <f t="shared" si="9"/>
        <v>0.3268498668</v>
      </c>
      <c r="AF13" s="24">
        <f t="shared" si="10"/>
        <v>0.6047842289</v>
      </c>
    </row>
    <row r="14" ht="15.75" customHeight="1">
      <c r="A14" s="16">
        <v>46.0</v>
      </c>
      <c r="B14" s="17">
        <f>sum(US!B14:US!E14)</f>
        <v>1522</v>
      </c>
      <c r="C14" s="17">
        <f>sum(CA!B14:CA!E14)</f>
        <v>489.8</v>
      </c>
      <c r="D14" s="17">
        <f>sum(UK!B14:UK!E14)</f>
        <v>2012.4</v>
      </c>
      <c r="E14" s="18">
        <f>sum(FR!B14:FR!E14)</f>
        <v>1494.8</v>
      </c>
      <c r="F14" s="19"/>
      <c r="G14" s="20">
        <f>sum(US!H14:US!L14)</f>
        <v>3036</v>
      </c>
      <c r="H14" s="20">
        <f>sum(CA!H14:CA!L14)</f>
        <v>1193</v>
      </c>
      <c r="I14" s="20">
        <f>sum(UK!H14:UK!L14)</f>
        <v>6108</v>
      </c>
      <c r="J14" s="20">
        <f>sum(FR!H14:FR!L14)</f>
        <v>5098</v>
      </c>
      <c r="K14" s="21"/>
      <c r="L14" s="20">
        <f>sum(US!N14:US!R14)</f>
        <v>1910</v>
      </c>
      <c r="M14" s="20">
        <f>sum(CA!N14:CA!R14)</f>
        <v>651</v>
      </c>
      <c r="N14" s="20">
        <f>sum(UK!N14:UK!R14)</f>
        <v>3314</v>
      </c>
      <c r="O14" s="20">
        <f>sum(FR!N14:FR!R14)</f>
        <v>2986</v>
      </c>
      <c r="P14" s="21"/>
      <c r="Q14" s="22">
        <f t="shared" ref="Q14:T14" si="29">if(G14&gt;0, L14/G14,"No installs")</f>
        <v>0.6291172596</v>
      </c>
      <c r="R14" s="22">
        <f t="shared" si="29"/>
        <v>0.5456831517</v>
      </c>
      <c r="S14" s="22">
        <f t="shared" si="29"/>
        <v>0.5425671251</v>
      </c>
      <c r="T14" s="22">
        <f t="shared" si="29"/>
        <v>0.5857198902</v>
      </c>
      <c r="U14" s="19"/>
      <c r="V14" s="23">
        <f t="shared" ref="V14:Y14" si="30">if(L14&gt;0,B14/L14,"No SignUps")</f>
        <v>0.7968586387</v>
      </c>
      <c r="W14" s="23">
        <f t="shared" si="30"/>
        <v>0.7523809524</v>
      </c>
      <c r="X14" s="23">
        <f t="shared" si="30"/>
        <v>0.6072420036</v>
      </c>
      <c r="Y14" s="23">
        <f t="shared" si="30"/>
        <v>0.5006028131</v>
      </c>
      <c r="Z14" s="19"/>
      <c r="AA14" s="24">
        <f t="shared" si="5"/>
        <v>5519</v>
      </c>
      <c r="AB14" s="25">
        <f t="shared" si="6"/>
        <v>15435</v>
      </c>
      <c r="AC14" s="25">
        <f t="shared" si="7"/>
        <v>8861</v>
      </c>
      <c r="AD14" s="26">
        <f t="shared" si="8"/>
        <v>0.574084872</v>
      </c>
      <c r="AE14" s="24">
        <f t="shared" si="9"/>
        <v>0.357563978</v>
      </c>
      <c r="AF14" s="24">
        <f t="shared" si="10"/>
        <v>0.6228416657</v>
      </c>
    </row>
    <row r="15" ht="15.75" customHeight="1">
      <c r="A15" s="16">
        <v>47.0</v>
      </c>
      <c r="B15" s="17">
        <f>sum(US!B15:US!E15)</f>
        <v>1321.6</v>
      </c>
      <c r="C15" s="17">
        <f>sum(CA!B15:CA!E15)</f>
        <v>302.6</v>
      </c>
      <c r="D15" s="17">
        <f>sum(UK!B15:UK!E15)</f>
        <v>1528.6</v>
      </c>
      <c r="E15" s="18">
        <f>sum(FR!B15:FR!E15)</f>
        <v>1247.8</v>
      </c>
      <c r="F15" s="19"/>
      <c r="G15" s="20">
        <f>sum(US!H15:US!L15)</f>
        <v>3331</v>
      </c>
      <c r="H15" s="20">
        <f>sum(CA!H15:CA!L15)</f>
        <v>753</v>
      </c>
      <c r="I15" s="20">
        <f>sum(UK!H15:UK!L15)</f>
        <v>4320</v>
      </c>
      <c r="J15" s="20">
        <f>sum(FR!H15:FR!L15)</f>
        <v>4251</v>
      </c>
      <c r="K15" s="21"/>
      <c r="L15" s="20">
        <f>sum(US!N15:US!R15)</f>
        <v>1741</v>
      </c>
      <c r="M15" s="20">
        <f>sum(CA!N15:CA!R15)</f>
        <v>382</v>
      </c>
      <c r="N15" s="20">
        <f>sum(UK!N15:UK!R15)</f>
        <v>2426</v>
      </c>
      <c r="O15" s="20">
        <f>sum(FR!N15:FR!R15)</f>
        <v>2445</v>
      </c>
      <c r="P15" s="21"/>
      <c r="Q15" s="22">
        <f t="shared" ref="Q15:T15" si="31">if(G15&gt;0, L15/G15,"No installs")</f>
        <v>0.5226658661</v>
      </c>
      <c r="R15" s="22">
        <f t="shared" si="31"/>
        <v>0.5073041169</v>
      </c>
      <c r="S15" s="22">
        <f t="shared" si="31"/>
        <v>0.5615740741</v>
      </c>
      <c r="T15" s="22">
        <f t="shared" si="31"/>
        <v>0.5751587862</v>
      </c>
      <c r="U15" s="19"/>
      <c r="V15" s="23">
        <f t="shared" ref="V15:Y15" si="32">if(L15&gt;0,B15/L15,"No SignUps")</f>
        <v>0.7591039632</v>
      </c>
      <c r="W15" s="23">
        <f t="shared" si="32"/>
        <v>0.7921465969</v>
      </c>
      <c r="X15" s="23">
        <f t="shared" si="32"/>
        <v>0.6300906843</v>
      </c>
      <c r="Y15" s="23">
        <f t="shared" si="32"/>
        <v>0.5103476483</v>
      </c>
      <c r="Z15" s="19"/>
      <c r="AA15" s="24">
        <f t="shared" si="5"/>
        <v>4400.6</v>
      </c>
      <c r="AB15" s="25">
        <f t="shared" si="6"/>
        <v>12655</v>
      </c>
      <c r="AC15" s="25">
        <f t="shared" si="7"/>
        <v>6994</v>
      </c>
      <c r="AD15" s="26">
        <f t="shared" si="8"/>
        <v>0.5526669301</v>
      </c>
      <c r="AE15" s="24">
        <f t="shared" si="9"/>
        <v>0.3477360727</v>
      </c>
      <c r="AF15" s="24">
        <f t="shared" si="10"/>
        <v>0.6291964541</v>
      </c>
    </row>
    <row r="16" ht="15.75" customHeight="1">
      <c r="A16" s="16">
        <v>48.0</v>
      </c>
      <c r="B16" s="17">
        <f>sum(US!B16:US!E16)</f>
        <v>1083.4</v>
      </c>
      <c r="C16" s="17">
        <f>sum(CA!B16:CA!E16)</f>
        <v>413.8</v>
      </c>
      <c r="D16" s="17">
        <f>sum(UK!B16:UK!E16)</f>
        <v>1317.4</v>
      </c>
      <c r="E16" s="18">
        <f>sum(FR!B16:FR!E16)</f>
        <v>978.4</v>
      </c>
      <c r="F16" s="19"/>
      <c r="G16" s="20">
        <f>sum(US!H16:US!L16)</f>
        <v>2370</v>
      </c>
      <c r="H16" s="20">
        <f>sum(CA!H16:CA!L16)</f>
        <v>935</v>
      </c>
      <c r="I16" s="20">
        <f>sum(UK!H16:UK!L16)</f>
        <v>3361</v>
      </c>
      <c r="J16" s="20">
        <f>sum(FR!H16:FR!L16)</f>
        <v>3881</v>
      </c>
      <c r="K16" s="21"/>
      <c r="L16" s="20">
        <f>sum(US!N16:US!R16)</f>
        <v>1309</v>
      </c>
      <c r="M16" s="20">
        <f>sum(CA!N16:CA!R16)</f>
        <v>440</v>
      </c>
      <c r="N16" s="20">
        <f>sum(UK!N16:UK!R16)</f>
        <v>1835</v>
      </c>
      <c r="O16" s="20">
        <f>sum(FR!N16:FR!R16)</f>
        <v>2238</v>
      </c>
      <c r="P16" s="21"/>
      <c r="Q16" s="22">
        <f t="shared" ref="Q16:T16" si="33">if(G16&gt;0, L16/G16,"No installs")</f>
        <v>0.5523206751</v>
      </c>
      <c r="R16" s="22">
        <f t="shared" si="33"/>
        <v>0.4705882353</v>
      </c>
      <c r="S16" s="22">
        <f t="shared" si="33"/>
        <v>0.5459684618</v>
      </c>
      <c r="T16" s="22">
        <f t="shared" si="33"/>
        <v>0.5766555012</v>
      </c>
      <c r="U16" s="19"/>
      <c r="V16" s="23">
        <f t="shared" ref="V16:Y16" si="34">if(L16&gt;0,B16/L16,"No SignUps")</f>
        <v>0.8276546982</v>
      </c>
      <c r="W16" s="23">
        <f t="shared" si="34"/>
        <v>0.9404545455</v>
      </c>
      <c r="X16" s="23">
        <f t="shared" si="34"/>
        <v>0.7179291553</v>
      </c>
      <c r="Y16" s="23">
        <f t="shared" si="34"/>
        <v>0.43717605</v>
      </c>
      <c r="Z16" s="19"/>
      <c r="AA16" s="24">
        <f t="shared" si="5"/>
        <v>3793</v>
      </c>
      <c r="AB16" s="25">
        <f t="shared" si="6"/>
        <v>10547</v>
      </c>
      <c r="AC16" s="25">
        <f t="shared" si="7"/>
        <v>5822</v>
      </c>
      <c r="AD16" s="26">
        <f t="shared" si="8"/>
        <v>0.5520053096</v>
      </c>
      <c r="AE16" s="24">
        <f t="shared" si="9"/>
        <v>0.3596283303</v>
      </c>
      <c r="AF16" s="24">
        <f t="shared" si="10"/>
        <v>0.6514943318</v>
      </c>
    </row>
    <row r="17" ht="15.75" customHeight="1">
      <c r="A17" s="16">
        <v>49.0</v>
      </c>
      <c r="B17" s="17">
        <f>sum(US!B17:US!E17)</f>
        <v>1102.4</v>
      </c>
      <c r="C17" s="17">
        <f>sum(CA!B17:CA!E17)</f>
        <v>482.8</v>
      </c>
      <c r="D17" s="17">
        <f>sum(UK!B17:UK!E17)</f>
        <v>1483.8</v>
      </c>
      <c r="E17" s="18">
        <f>sum(FR!B17:FR!E17)</f>
        <v>754.2</v>
      </c>
      <c r="F17" s="19"/>
      <c r="G17" s="20">
        <f>sum(US!H17:US!L17)</f>
        <v>2650</v>
      </c>
      <c r="H17" s="20">
        <f>sum(CA!H17:CA!L17)</f>
        <v>1181</v>
      </c>
      <c r="I17" s="20">
        <f>sum(UK!H17:UK!L17)</f>
        <v>3774</v>
      </c>
      <c r="J17" s="20">
        <f>sum(FR!H17:FR!L17)</f>
        <v>4659</v>
      </c>
      <c r="K17" s="21"/>
      <c r="L17" s="20">
        <f>sum(US!N17:US!R17)</f>
        <v>1225</v>
      </c>
      <c r="M17" s="20">
        <f>sum(CA!N17:CA!R17)</f>
        <v>550</v>
      </c>
      <c r="N17" s="20">
        <f>sum(UK!N17:UK!R17)</f>
        <v>1735</v>
      </c>
      <c r="O17" s="20">
        <f>sum(FR!N17:FR!R17)</f>
        <v>1814</v>
      </c>
      <c r="P17" s="21"/>
      <c r="Q17" s="22">
        <f t="shared" ref="Q17:T17" si="35">if(G17&gt;0, L17/G17,"No installs")</f>
        <v>0.4622641509</v>
      </c>
      <c r="R17" s="22">
        <f t="shared" si="35"/>
        <v>0.4657070279</v>
      </c>
      <c r="S17" s="22">
        <f t="shared" si="35"/>
        <v>0.4597244303</v>
      </c>
      <c r="T17" s="22">
        <f t="shared" si="35"/>
        <v>0.3893539386</v>
      </c>
      <c r="U17" s="19"/>
      <c r="V17" s="23">
        <f t="shared" ref="V17:Y17" si="36">if(L17&gt;0,B17/L17,"No SignUps")</f>
        <v>0.8999183673</v>
      </c>
      <c r="W17" s="23">
        <f t="shared" si="36"/>
        <v>0.8778181818</v>
      </c>
      <c r="X17" s="23">
        <f t="shared" si="36"/>
        <v>0.8552161383</v>
      </c>
      <c r="Y17" s="23">
        <f t="shared" si="36"/>
        <v>0.4157662624</v>
      </c>
      <c r="Z17" s="19"/>
      <c r="AA17" s="24">
        <f t="shared" si="5"/>
        <v>3823.2</v>
      </c>
      <c r="AB17" s="25">
        <f t="shared" si="6"/>
        <v>12264</v>
      </c>
      <c r="AC17" s="25">
        <f t="shared" si="7"/>
        <v>5324</v>
      </c>
      <c r="AD17" s="26">
        <f t="shared" si="8"/>
        <v>0.4341161122</v>
      </c>
      <c r="AE17" s="24">
        <f t="shared" si="9"/>
        <v>0.311741683</v>
      </c>
      <c r="AF17" s="24">
        <f t="shared" si="10"/>
        <v>0.7181066867</v>
      </c>
    </row>
    <row r="18" ht="15.75" customHeight="1">
      <c r="A18" s="16">
        <v>50.0</v>
      </c>
      <c r="B18" s="17">
        <f>sum(US!B18:US!E18)</f>
        <v>675.8</v>
      </c>
      <c r="C18" s="17">
        <f>sum(CA!B18:CA!E18)</f>
        <v>1023.8</v>
      </c>
      <c r="D18" s="17">
        <f>sum(UK!B18:UK!E18)</f>
        <v>967</v>
      </c>
      <c r="E18" s="18">
        <f>sum(FR!B18:FR!E18)</f>
        <v>884.2</v>
      </c>
      <c r="F18" s="19"/>
      <c r="G18" s="20">
        <f>sum(US!H18:US!L18)</f>
        <v>1502</v>
      </c>
      <c r="H18" s="20">
        <f>sum(CA!H18:CA!L18)</f>
        <v>1765</v>
      </c>
      <c r="I18" s="20">
        <f>sum(UK!H18:UK!L18)</f>
        <v>2568</v>
      </c>
      <c r="J18" s="20">
        <f>sum(FR!H18:FR!L18)</f>
        <v>3591</v>
      </c>
      <c r="K18" s="21"/>
      <c r="L18" s="20">
        <f>sum(US!N18:US!R18)</f>
        <v>914</v>
      </c>
      <c r="M18" s="20">
        <f>sum(CA!N18:CA!R18)</f>
        <v>1027</v>
      </c>
      <c r="N18" s="20">
        <f>sum(UK!N18:UK!R18)</f>
        <v>1360</v>
      </c>
      <c r="O18" s="20">
        <f>sum(FR!N18:FR!R18)</f>
        <v>1935</v>
      </c>
      <c r="P18" s="21"/>
      <c r="Q18" s="22">
        <f t="shared" ref="Q18:T18" si="37">if(G18&gt;0, L18/G18,"No installs")</f>
        <v>0.6085219707</v>
      </c>
      <c r="R18" s="22">
        <f t="shared" si="37"/>
        <v>0.5818696884</v>
      </c>
      <c r="S18" s="22">
        <f t="shared" si="37"/>
        <v>0.5295950156</v>
      </c>
      <c r="T18" s="22">
        <f t="shared" si="37"/>
        <v>0.5388471178</v>
      </c>
      <c r="U18" s="19"/>
      <c r="V18" s="23">
        <f t="shared" ref="V18:Y18" si="38">if(L18&gt;0,B18/L18,"No SignUps")</f>
        <v>0.7393873085</v>
      </c>
      <c r="W18" s="23">
        <f t="shared" si="38"/>
        <v>0.9968841285</v>
      </c>
      <c r="X18" s="23">
        <f t="shared" si="38"/>
        <v>0.7110294118</v>
      </c>
      <c r="Y18" s="23">
        <f t="shared" si="38"/>
        <v>0.4569509044</v>
      </c>
      <c r="Z18" s="19"/>
      <c r="AA18" s="24">
        <f t="shared" si="5"/>
        <v>3550.8</v>
      </c>
      <c r="AB18" s="25">
        <f t="shared" si="6"/>
        <v>9426</v>
      </c>
      <c r="AC18" s="25">
        <f t="shared" si="7"/>
        <v>5236</v>
      </c>
      <c r="AD18" s="26">
        <f t="shared" si="8"/>
        <v>0.5554848292</v>
      </c>
      <c r="AE18" s="24">
        <f t="shared" si="9"/>
        <v>0.3767027371</v>
      </c>
      <c r="AF18" s="24">
        <f t="shared" si="10"/>
        <v>0.6781512605</v>
      </c>
    </row>
    <row r="19" ht="15.75" customHeight="1">
      <c r="A19" s="16">
        <v>51.0</v>
      </c>
      <c r="B19" s="17">
        <f>sum(US!B19:US!E19)</f>
        <v>964.6</v>
      </c>
      <c r="C19" s="17">
        <f>sum(CA!B19:CA!E19)</f>
        <v>474.4</v>
      </c>
      <c r="D19" s="17">
        <f>sum(UK!B19:UK!E19)</f>
        <v>898.2</v>
      </c>
      <c r="E19" s="18">
        <f>sum(FR!B19:FR!E19)</f>
        <v>1198.8</v>
      </c>
      <c r="F19" s="19"/>
      <c r="G19" s="20">
        <f>sum(US!H19:US!L19)</f>
        <v>1842</v>
      </c>
      <c r="H19" s="20">
        <f>sum(CA!H19:CA!L19)</f>
        <v>836</v>
      </c>
      <c r="I19" s="20">
        <f>sum(UK!H19:UK!L19)</f>
        <v>1932</v>
      </c>
      <c r="J19" s="20">
        <f>sum(FR!H19:FR!L19)</f>
        <v>3831</v>
      </c>
      <c r="K19" s="21"/>
      <c r="L19" s="20">
        <f>sum(US!N19:US!R19)</f>
        <v>971</v>
      </c>
      <c r="M19" s="20">
        <f>sum(CA!N19:CA!R19)</f>
        <v>488</v>
      </c>
      <c r="N19" s="20">
        <f>sum(UK!N19:UK!R19)</f>
        <v>904</v>
      </c>
      <c r="O19" s="20">
        <f>sum(FR!N19:FR!R19)</f>
        <v>2177</v>
      </c>
      <c r="P19" s="21"/>
      <c r="Q19" s="22">
        <f t="shared" ref="Q19:T19" si="39">if(G19&gt;0, L19/G19,"No installs")</f>
        <v>0.5271444083</v>
      </c>
      <c r="R19" s="22">
        <f t="shared" si="39"/>
        <v>0.5837320574</v>
      </c>
      <c r="S19" s="22">
        <f t="shared" si="39"/>
        <v>0.4679089027</v>
      </c>
      <c r="T19" s="22">
        <f t="shared" si="39"/>
        <v>0.5682589402</v>
      </c>
      <c r="U19" s="19"/>
      <c r="V19" s="23">
        <f t="shared" ref="V19:Y19" si="40">if(L19&gt;0,B19/L19,"No SignUps")</f>
        <v>0.9934088568</v>
      </c>
      <c r="W19" s="23">
        <f t="shared" si="40"/>
        <v>0.9721311475</v>
      </c>
      <c r="X19" s="23">
        <f t="shared" si="40"/>
        <v>0.9935840708</v>
      </c>
      <c r="Y19" s="23">
        <f t="shared" si="40"/>
        <v>0.5506660542</v>
      </c>
      <c r="Z19" s="19"/>
      <c r="AA19" s="24">
        <f t="shared" si="5"/>
        <v>3536</v>
      </c>
      <c r="AB19" s="25">
        <f t="shared" si="6"/>
        <v>8441</v>
      </c>
      <c r="AC19" s="25">
        <f t="shared" si="7"/>
        <v>4540</v>
      </c>
      <c r="AD19" s="26">
        <f t="shared" si="8"/>
        <v>0.5378509655</v>
      </c>
      <c r="AE19" s="24">
        <f t="shared" si="9"/>
        <v>0.4189077124</v>
      </c>
      <c r="AF19" s="24">
        <f t="shared" si="10"/>
        <v>0.7788546256</v>
      </c>
    </row>
    <row r="20" ht="15.75" customHeight="1">
      <c r="A20" s="16">
        <v>52.0</v>
      </c>
      <c r="B20" s="17">
        <f>sum(US!B20:US!E20)</f>
        <v>1583.2</v>
      </c>
      <c r="C20" s="17">
        <f>sum(CA!B20:CA!E20)</f>
        <v>629.4</v>
      </c>
      <c r="D20" s="17">
        <f>sum(UK!B20:UK!E20)</f>
        <v>991.6</v>
      </c>
      <c r="E20" s="18">
        <f>sum(FR!B20:FR!E20)</f>
        <v>2156</v>
      </c>
      <c r="F20" s="19"/>
      <c r="G20" s="20">
        <f>sum(US!H20:US!L20)</f>
        <v>3070</v>
      </c>
      <c r="H20" s="20">
        <f>sum(CA!H20:CA!L20)</f>
        <v>1374</v>
      </c>
      <c r="I20" s="20">
        <f>sum(UK!H20:UK!L20)</f>
        <v>2380</v>
      </c>
      <c r="J20" s="20">
        <f>sum(FR!H20:FR!L20)</f>
        <v>6750</v>
      </c>
      <c r="K20" s="21"/>
      <c r="L20" s="20">
        <f>sum(US!N20:US!R20)</f>
        <v>971</v>
      </c>
      <c r="M20" s="20">
        <f>sum(CA!N20:CA!R20)</f>
        <v>616</v>
      </c>
      <c r="N20" s="20">
        <f>sum(UK!N20:UK!R20)</f>
        <v>950</v>
      </c>
      <c r="O20" s="20">
        <f>sum(FR!N20:FR!R20)</f>
        <v>3362</v>
      </c>
      <c r="P20" s="21"/>
      <c r="Q20" s="22">
        <f t="shared" ref="Q20:T20" si="41">if(G20&gt;0, L20/G20,"No installs")</f>
        <v>0.316286645</v>
      </c>
      <c r="R20" s="22">
        <f t="shared" si="41"/>
        <v>0.4483260553</v>
      </c>
      <c r="S20" s="22">
        <f t="shared" si="41"/>
        <v>0.3991596639</v>
      </c>
      <c r="T20" s="22">
        <f t="shared" si="41"/>
        <v>0.4980740741</v>
      </c>
      <c r="U20" s="19"/>
      <c r="V20" s="23">
        <f t="shared" ref="V20:Y20" si="42">if(L20&gt;0,B20/L20,"No SignUps")</f>
        <v>1.630484037</v>
      </c>
      <c r="W20" s="23">
        <f t="shared" si="42"/>
        <v>1.021753247</v>
      </c>
      <c r="X20" s="23">
        <f t="shared" si="42"/>
        <v>1.043789474</v>
      </c>
      <c r="Y20" s="23">
        <f t="shared" si="42"/>
        <v>0.6412849494</v>
      </c>
      <c r="Z20" s="19"/>
      <c r="AA20" s="24">
        <f t="shared" si="5"/>
        <v>5360.2</v>
      </c>
      <c r="AB20" s="25">
        <f t="shared" si="6"/>
        <v>13574</v>
      </c>
      <c r="AC20" s="25">
        <f t="shared" si="7"/>
        <v>5899</v>
      </c>
      <c r="AD20" s="26">
        <f t="shared" si="8"/>
        <v>0.4345808163</v>
      </c>
      <c r="AE20" s="24">
        <f t="shared" si="9"/>
        <v>0.3948872845</v>
      </c>
      <c r="AF20" s="24">
        <f t="shared" si="10"/>
        <v>0.9086624852</v>
      </c>
    </row>
    <row r="21" ht="15.75" customHeight="1">
      <c r="A21" s="16">
        <v>1.0</v>
      </c>
      <c r="B21" s="17">
        <f>sum(US!B21:US!E21)</f>
        <v>1601.6</v>
      </c>
      <c r="C21" s="17">
        <f>sum(CA!B21:CA!E21)</f>
        <v>849</v>
      </c>
      <c r="D21" s="17">
        <f>sum(UK!B21:UK!E21)</f>
        <v>1108</v>
      </c>
      <c r="E21" s="18">
        <f>sum(FR!B21:FR!E21)</f>
        <v>2065.6</v>
      </c>
      <c r="F21" s="19"/>
      <c r="G21" s="20">
        <f>sum(US!H21:US!L21)</f>
        <v>3203</v>
      </c>
      <c r="H21" s="20">
        <f>sum(CA!H21:CA!L21)</f>
        <v>1938</v>
      </c>
      <c r="I21" s="20">
        <f>sum(UK!H21:UK!L21)</f>
        <v>2605</v>
      </c>
      <c r="J21" s="20">
        <f>sum(FR!H21:FR!L21)</f>
        <v>6517</v>
      </c>
      <c r="K21" s="21"/>
      <c r="L21" s="20">
        <f>sum(US!N21:US!R21)</f>
        <v>1457</v>
      </c>
      <c r="M21" s="20">
        <f>sum(CA!N21:CA!R21)</f>
        <v>729</v>
      </c>
      <c r="N21" s="20">
        <f>sum(UK!N21:UK!R21)</f>
        <v>1003</v>
      </c>
      <c r="O21" s="20">
        <f>sum(FR!N21:FR!R21)</f>
        <v>2882</v>
      </c>
      <c r="P21" s="21"/>
      <c r="Q21" s="22">
        <f t="shared" ref="Q21:T21" si="43">if(G21&gt;0, L21/G21,"No installs")</f>
        <v>0.4548860443</v>
      </c>
      <c r="R21" s="22">
        <f t="shared" si="43"/>
        <v>0.3761609907</v>
      </c>
      <c r="S21" s="22">
        <f t="shared" si="43"/>
        <v>0.3850287908</v>
      </c>
      <c r="T21" s="22">
        <f t="shared" si="43"/>
        <v>0.442228019</v>
      </c>
      <c r="U21" s="19"/>
      <c r="V21" s="23">
        <f t="shared" ref="V21:Y21" si="44">if(L21&gt;0,B21/L21,"No SignUps")</f>
        <v>1.099245024</v>
      </c>
      <c r="W21" s="23">
        <f t="shared" si="44"/>
        <v>1.164609053</v>
      </c>
      <c r="X21" s="23">
        <f t="shared" si="44"/>
        <v>1.104685942</v>
      </c>
      <c r="Y21" s="23">
        <f t="shared" si="44"/>
        <v>0.7167244969</v>
      </c>
      <c r="Z21" s="19"/>
      <c r="AA21" s="24">
        <f t="shared" si="5"/>
        <v>5624.2</v>
      </c>
      <c r="AB21" s="25">
        <f t="shared" si="6"/>
        <v>14263</v>
      </c>
      <c r="AC21" s="25">
        <f t="shared" si="7"/>
        <v>6071</v>
      </c>
      <c r="AD21" s="26">
        <f t="shared" si="8"/>
        <v>0.4256467784</v>
      </c>
      <c r="AE21" s="24">
        <f t="shared" si="9"/>
        <v>0.3943209703</v>
      </c>
      <c r="AF21" s="24">
        <f t="shared" si="10"/>
        <v>0.9264042168</v>
      </c>
    </row>
    <row r="22" ht="15.75" customHeight="1">
      <c r="A22" s="16">
        <v>2.0</v>
      </c>
      <c r="B22" s="17">
        <f>sum(US!B22:US!E22)</f>
        <v>1231.6</v>
      </c>
      <c r="C22" s="17">
        <f>sum(CA!B22:CA!E22)</f>
        <v>689.4</v>
      </c>
      <c r="D22" s="17">
        <f>sum(UK!B22:UK!E22)</f>
        <v>841</v>
      </c>
      <c r="E22" s="18">
        <f>sum(FR!B22:FR!E22)</f>
        <v>1212.4</v>
      </c>
      <c r="F22" s="19"/>
      <c r="G22" s="20">
        <f>sum(US!H22:US!L22)</f>
        <v>2706</v>
      </c>
      <c r="H22" s="20">
        <f>sum(CA!H22:CA!L22)</f>
        <v>1594</v>
      </c>
      <c r="I22" s="20">
        <f>sum(UK!H22:UK!L22)</f>
        <v>2158</v>
      </c>
      <c r="J22" s="20">
        <f>sum(FR!H22:FR!L22)</f>
        <v>4050</v>
      </c>
      <c r="K22" s="21"/>
      <c r="L22" s="20">
        <f>sum(US!N22:US!R22)</f>
        <v>1177</v>
      </c>
      <c r="M22" s="20">
        <f>sum(CA!N22:CA!R22)</f>
        <v>692</v>
      </c>
      <c r="N22" s="20">
        <f>sum(UK!N22:UK!R22)</f>
        <v>881</v>
      </c>
      <c r="O22" s="20">
        <f>sum(FR!N22:FR!R22)</f>
        <v>2198</v>
      </c>
      <c r="P22" s="21"/>
      <c r="Q22" s="22">
        <f t="shared" ref="Q22:T22" si="45">if(G22&gt;0, L22/G22,"No installs")</f>
        <v>0.4349593496</v>
      </c>
      <c r="R22" s="22">
        <f t="shared" si="45"/>
        <v>0.4341279799</v>
      </c>
      <c r="S22" s="22">
        <f t="shared" si="45"/>
        <v>0.4082483781</v>
      </c>
      <c r="T22" s="22">
        <f t="shared" si="45"/>
        <v>0.5427160494</v>
      </c>
      <c r="U22" s="19"/>
      <c r="V22" s="23">
        <f t="shared" ref="V22:Y22" si="46">if(L22&gt;0,B22/L22,"No SignUps")</f>
        <v>1.046389125</v>
      </c>
      <c r="W22" s="23">
        <f t="shared" si="46"/>
        <v>0.9962427746</v>
      </c>
      <c r="X22" s="23">
        <f t="shared" si="46"/>
        <v>0.9545970488</v>
      </c>
      <c r="Y22" s="23">
        <f t="shared" si="46"/>
        <v>0.5515923567</v>
      </c>
      <c r="Z22" s="19"/>
      <c r="AA22" s="24">
        <f t="shared" si="5"/>
        <v>3974.4</v>
      </c>
      <c r="AB22" s="25">
        <f t="shared" si="6"/>
        <v>10508</v>
      </c>
      <c r="AC22" s="25">
        <f t="shared" si="7"/>
        <v>4948</v>
      </c>
      <c r="AD22" s="26">
        <f t="shared" si="8"/>
        <v>0.47087933</v>
      </c>
      <c r="AE22" s="24">
        <f t="shared" si="9"/>
        <v>0.3782261134</v>
      </c>
      <c r="AF22" s="24">
        <f t="shared" si="10"/>
        <v>0.8032336297</v>
      </c>
    </row>
    <row r="23" ht="15.75" customHeight="1">
      <c r="A23" s="16">
        <v>3.0</v>
      </c>
      <c r="B23" s="17">
        <f>sum(US!B23:US!E23)</f>
        <v>788.2</v>
      </c>
      <c r="C23" s="17">
        <f>sum(CA!B23:CA!E23)</f>
        <v>762.4</v>
      </c>
      <c r="D23" s="17">
        <f>sum(UK!B23:UK!E23)</f>
        <v>803.8</v>
      </c>
      <c r="E23" s="18">
        <f>sum(FR!B23:FR!E23)</f>
        <v>1104.4</v>
      </c>
      <c r="F23" s="19"/>
      <c r="G23" s="20">
        <f>sum(US!H23:US!L23)</f>
        <v>1988</v>
      </c>
      <c r="H23" s="20">
        <f>sum(CA!H23:CA!L23)</f>
        <v>2035</v>
      </c>
      <c r="I23" s="20">
        <f>sum(UK!H23:UK!L23)</f>
        <v>2430</v>
      </c>
      <c r="J23" s="20">
        <f>sum(FR!H23:FR!L23)</f>
        <v>4748</v>
      </c>
      <c r="K23" s="21"/>
      <c r="L23" s="20">
        <f>sum(US!N23:US!R23)</f>
        <v>916</v>
      </c>
      <c r="M23" s="20">
        <f>sum(CA!N23:CA!R23)</f>
        <v>806</v>
      </c>
      <c r="N23" s="20">
        <f>sum(UK!N23:UK!R23)</f>
        <v>770</v>
      </c>
      <c r="O23" s="20">
        <f>sum(FR!N23:FR!R23)</f>
        <v>1759</v>
      </c>
      <c r="P23" s="21"/>
      <c r="Q23" s="22">
        <f t="shared" ref="Q23:T23" si="47">if(G23&gt;0, L23/G23,"No installs")</f>
        <v>0.4607645875</v>
      </c>
      <c r="R23" s="22">
        <f t="shared" si="47"/>
        <v>0.3960687961</v>
      </c>
      <c r="S23" s="22">
        <f t="shared" si="47"/>
        <v>0.316872428</v>
      </c>
      <c r="T23" s="22">
        <f t="shared" si="47"/>
        <v>0.3704717776</v>
      </c>
      <c r="U23" s="19"/>
      <c r="V23" s="23">
        <f t="shared" ref="V23:Y23" si="48">if(L23&gt;0,B23/L23,"No SignUps")</f>
        <v>0.8604803493</v>
      </c>
      <c r="W23" s="23">
        <f t="shared" si="48"/>
        <v>0.9459057072</v>
      </c>
      <c r="X23" s="23">
        <f t="shared" si="48"/>
        <v>1.043896104</v>
      </c>
      <c r="Y23" s="23">
        <f t="shared" si="48"/>
        <v>0.6278567368</v>
      </c>
      <c r="Z23" s="19"/>
      <c r="AA23" s="24">
        <f t="shared" si="5"/>
        <v>3458.8</v>
      </c>
      <c r="AB23" s="25">
        <f t="shared" si="6"/>
        <v>11201</v>
      </c>
      <c r="AC23" s="25">
        <f t="shared" si="7"/>
        <v>4251</v>
      </c>
      <c r="AD23" s="26">
        <f t="shared" si="8"/>
        <v>0.3795196857</v>
      </c>
      <c r="AE23" s="24">
        <f t="shared" si="9"/>
        <v>0.3087938577</v>
      </c>
      <c r="AF23" s="24">
        <f t="shared" si="10"/>
        <v>0.8136438485</v>
      </c>
    </row>
    <row r="24" ht="15.75" customHeight="1">
      <c r="A24" s="16"/>
      <c r="B24" s="17"/>
      <c r="C24" s="18"/>
      <c r="D24" s="18"/>
      <c r="E24" s="18"/>
      <c r="F24" s="19"/>
      <c r="G24" s="27"/>
      <c r="H24" s="27"/>
      <c r="I24" s="27"/>
      <c r="J24" s="27"/>
      <c r="K24" s="21"/>
      <c r="L24" s="27"/>
      <c r="M24" s="27"/>
      <c r="N24" s="27"/>
      <c r="O24" s="27"/>
      <c r="P24" s="21"/>
      <c r="Q24" s="28"/>
      <c r="R24" s="28"/>
      <c r="S24" s="28"/>
      <c r="T24" s="28"/>
      <c r="U24" s="19"/>
      <c r="V24" s="29"/>
      <c r="W24" s="29"/>
      <c r="X24" s="29"/>
      <c r="Y24" s="29"/>
      <c r="Z24" s="19"/>
      <c r="AA24" s="24"/>
      <c r="AB24" s="25"/>
      <c r="AC24" s="25"/>
      <c r="AD24" s="26"/>
      <c r="AE24" s="24"/>
      <c r="AF24" s="24"/>
    </row>
    <row r="25" ht="15.75" customHeight="1">
      <c r="A25" s="16"/>
      <c r="B25" s="17"/>
      <c r="C25" s="18"/>
      <c r="D25" s="18"/>
      <c r="E25" s="18"/>
      <c r="F25" s="19"/>
      <c r="G25" s="27"/>
      <c r="H25" s="27"/>
      <c r="I25" s="27"/>
      <c r="J25" s="27"/>
      <c r="K25" s="21"/>
      <c r="L25" s="27"/>
      <c r="M25" s="27"/>
      <c r="N25" s="27"/>
      <c r="O25" s="27"/>
      <c r="P25" s="21"/>
      <c r="Q25" s="28"/>
      <c r="R25" s="28"/>
      <c r="S25" s="28"/>
      <c r="T25" s="28"/>
      <c r="U25" s="19"/>
      <c r="V25" s="29"/>
      <c r="W25" s="29"/>
      <c r="X25" s="29"/>
      <c r="Y25" s="29"/>
      <c r="Z25" s="19"/>
      <c r="AA25" s="24"/>
      <c r="AB25" s="25"/>
      <c r="AC25" s="25"/>
      <c r="AD25" s="26"/>
      <c r="AE25" s="24"/>
      <c r="AF25" s="24"/>
    </row>
    <row r="26" ht="15.75" customHeight="1">
      <c r="A26" s="16"/>
      <c r="B26" s="17"/>
      <c r="C26" s="18"/>
      <c r="D26" s="18"/>
      <c r="E26" s="18"/>
      <c r="F26" s="19"/>
      <c r="G26" s="27"/>
      <c r="H26" s="27"/>
      <c r="I26" s="27"/>
      <c r="J26" s="27"/>
      <c r="K26" s="21"/>
      <c r="L26" s="27"/>
      <c r="M26" s="27"/>
      <c r="N26" s="27"/>
      <c r="O26" s="27"/>
      <c r="P26" s="21"/>
      <c r="Q26" s="28"/>
      <c r="R26" s="28"/>
      <c r="S26" s="28"/>
      <c r="T26" s="28"/>
      <c r="U26" s="19"/>
      <c r="V26" s="29"/>
      <c r="W26" s="29"/>
      <c r="X26" s="29"/>
      <c r="Y26" s="29"/>
      <c r="Z26" s="19"/>
      <c r="AA26" s="24"/>
      <c r="AB26" s="25"/>
      <c r="AC26" s="25"/>
      <c r="AD26" s="26"/>
      <c r="AE26" s="24"/>
      <c r="AF26" s="24"/>
    </row>
    <row r="27" ht="15.75" customHeight="1">
      <c r="A27" s="16"/>
      <c r="B27" s="17"/>
      <c r="C27" s="18"/>
      <c r="D27" s="18"/>
      <c r="E27" s="18"/>
      <c r="F27" s="19"/>
      <c r="G27" s="27"/>
      <c r="H27" s="27"/>
      <c r="I27" s="27"/>
      <c r="J27" s="27"/>
      <c r="K27" s="21"/>
      <c r="L27" s="27"/>
      <c r="M27" s="27"/>
      <c r="N27" s="27"/>
      <c r="O27" s="27"/>
      <c r="P27" s="21"/>
      <c r="Q27" s="28"/>
      <c r="R27" s="28"/>
      <c r="S27" s="28"/>
      <c r="T27" s="28"/>
      <c r="U27" s="19"/>
      <c r="V27" s="29"/>
      <c r="W27" s="29"/>
      <c r="X27" s="29"/>
      <c r="Y27" s="29"/>
      <c r="Z27" s="19"/>
      <c r="AA27" s="24"/>
      <c r="AB27" s="25"/>
      <c r="AC27" s="25"/>
      <c r="AD27" s="26"/>
      <c r="AE27" s="24"/>
      <c r="AF27" s="24"/>
    </row>
    <row r="28" ht="15.75" customHeight="1">
      <c r="A28" s="16"/>
      <c r="B28" s="18"/>
      <c r="C28" s="18"/>
      <c r="D28" s="18"/>
      <c r="E28" s="18"/>
      <c r="F28" s="19"/>
      <c r="G28" s="27"/>
      <c r="H28" s="27"/>
      <c r="I28" s="27"/>
      <c r="J28" s="27"/>
      <c r="K28" s="21"/>
      <c r="L28" s="27"/>
      <c r="M28" s="27"/>
      <c r="N28" s="27"/>
      <c r="O28" s="27"/>
      <c r="P28" s="21"/>
      <c r="Q28" s="28"/>
      <c r="R28" s="28"/>
      <c r="S28" s="28"/>
      <c r="T28" s="28"/>
      <c r="U28" s="19"/>
      <c r="V28" s="29"/>
      <c r="W28" s="29"/>
      <c r="X28" s="29"/>
      <c r="Y28" s="29"/>
      <c r="Z28" s="19"/>
      <c r="AA28" s="24"/>
      <c r="AB28" s="25"/>
      <c r="AC28" s="25"/>
      <c r="AD28" s="26"/>
      <c r="AE28" s="24"/>
      <c r="AF28" s="24"/>
    </row>
    <row r="29" ht="15.75" customHeight="1">
      <c r="A29" s="16"/>
      <c r="B29" s="18"/>
      <c r="C29" s="18"/>
      <c r="D29" s="18"/>
      <c r="E29" s="18"/>
      <c r="F29" s="19"/>
      <c r="G29" s="27"/>
      <c r="H29" s="27"/>
      <c r="I29" s="27"/>
      <c r="J29" s="27"/>
      <c r="K29" s="21"/>
      <c r="L29" s="27"/>
      <c r="M29" s="27"/>
      <c r="N29" s="27"/>
      <c r="O29" s="27"/>
      <c r="P29" s="21"/>
      <c r="Q29" s="28"/>
      <c r="R29" s="28"/>
      <c r="S29" s="28"/>
      <c r="T29" s="28"/>
      <c r="U29" s="19"/>
      <c r="V29" s="29"/>
      <c r="W29" s="29"/>
      <c r="X29" s="29"/>
      <c r="Y29" s="29"/>
      <c r="Z29" s="19"/>
      <c r="AA29" s="24"/>
      <c r="AB29" s="25"/>
      <c r="AC29" s="25"/>
      <c r="AD29" s="26"/>
      <c r="AE29" s="24"/>
      <c r="AF29" s="24"/>
    </row>
    <row r="30" ht="15.75" customHeight="1">
      <c r="A30" s="16"/>
      <c r="B30" s="18"/>
      <c r="C30" s="18"/>
      <c r="D30" s="18"/>
      <c r="E30" s="18"/>
      <c r="F30" s="19"/>
      <c r="G30" s="27"/>
      <c r="H30" s="27"/>
      <c r="I30" s="27"/>
      <c r="J30" s="27"/>
      <c r="K30" s="21"/>
      <c r="L30" s="27"/>
      <c r="M30" s="27"/>
      <c r="N30" s="27"/>
      <c r="O30" s="27"/>
      <c r="P30" s="21"/>
      <c r="Q30" s="28"/>
      <c r="R30" s="28"/>
      <c r="S30" s="28"/>
      <c r="T30" s="28"/>
      <c r="U30" s="19"/>
      <c r="V30" s="29"/>
      <c r="W30" s="29"/>
      <c r="X30" s="29"/>
      <c r="Y30" s="29"/>
      <c r="Z30" s="19"/>
      <c r="AA30" s="24"/>
      <c r="AB30" s="25"/>
      <c r="AC30" s="25"/>
      <c r="AD30" s="26"/>
      <c r="AE30" s="24"/>
      <c r="AF30" s="24"/>
    </row>
    <row r="31" ht="15.75" customHeight="1">
      <c r="A31" s="16"/>
      <c r="B31" s="18"/>
      <c r="C31" s="18"/>
      <c r="D31" s="18"/>
      <c r="E31" s="18"/>
      <c r="F31" s="19"/>
      <c r="G31" s="27"/>
      <c r="H31" s="27"/>
      <c r="I31" s="27"/>
      <c r="J31" s="27"/>
      <c r="K31" s="21"/>
      <c r="L31" s="27"/>
      <c r="M31" s="27"/>
      <c r="N31" s="27"/>
      <c r="O31" s="27"/>
      <c r="P31" s="21"/>
      <c r="Q31" s="28"/>
      <c r="R31" s="28"/>
      <c r="S31" s="28"/>
      <c r="T31" s="28"/>
      <c r="U31" s="19"/>
      <c r="V31" s="29"/>
      <c r="W31" s="29"/>
      <c r="X31" s="29"/>
      <c r="Y31" s="29"/>
      <c r="Z31" s="19"/>
      <c r="AA31" s="24"/>
      <c r="AB31" s="25"/>
      <c r="AC31" s="25"/>
      <c r="AD31" s="26"/>
      <c r="AE31" s="24"/>
      <c r="AF31" s="24"/>
    </row>
    <row r="32" ht="15.75" customHeight="1">
      <c r="A32" s="16"/>
      <c r="B32" s="18"/>
      <c r="C32" s="18"/>
      <c r="D32" s="18"/>
      <c r="E32" s="18"/>
      <c r="F32" s="19"/>
      <c r="G32" s="27"/>
      <c r="H32" s="27"/>
      <c r="I32" s="27"/>
      <c r="J32" s="27"/>
      <c r="K32" s="21"/>
      <c r="L32" s="27"/>
      <c r="M32" s="27"/>
      <c r="N32" s="27"/>
      <c r="O32" s="27"/>
      <c r="P32" s="21"/>
      <c r="Q32" s="28"/>
      <c r="R32" s="28"/>
      <c r="S32" s="28"/>
      <c r="T32" s="28"/>
      <c r="U32" s="19"/>
      <c r="V32" s="29"/>
      <c r="W32" s="29"/>
      <c r="X32" s="29"/>
      <c r="Y32" s="29"/>
      <c r="Z32" s="19"/>
      <c r="AA32" s="24"/>
      <c r="AB32" s="25"/>
      <c r="AC32" s="25"/>
      <c r="AD32" s="26"/>
      <c r="AE32" s="24"/>
      <c r="AF32" s="24"/>
    </row>
    <row r="33" ht="15.75" customHeight="1">
      <c r="A33" s="16"/>
      <c r="B33" s="18"/>
      <c r="C33" s="18"/>
      <c r="D33" s="18"/>
      <c r="E33" s="18"/>
      <c r="F33" s="19"/>
      <c r="G33" s="27"/>
      <c r="H33" s="27"/>
      <c r="I33" s="27"/>
      <c r="J33" s="27"/>
      <c r="K33" s="21"/>
      <c r="L33" s="27"/>
      <c r="M33" s="27"/>
      <c r="N33" s="27"/>
      <c r="O33" s="27"/>
      <c r="P33" s="21"/>
      <c r="Q33" s="28"/>
      <c r="R33" s="28"/>
      <c r="S33" s="28"/>
      <c r="T33" s="28"/>
      <c r="U33" s="19"/>
      <c r="V33" s="29"/>
      <c r="W33" s="29"/>
      <c r="X33" s="29"/>
      <c r="Y33" s="29"/>
      <c r="Z33" s="19"/>
      <c r="AA33" s="24"/>
      <c r="AB33" s="25"/>
      <c r="AC33" s="25"/>
      <c r="AD33" s="26"/>
      <c r="AE33" s="24"/>
      <c r="AF33" s="24"/>
    </row>
    <row r="34" ht="15.75" customHeight="1">
      <c r="A34" s="16"/>
      <c r="B34" s="18"/>
      <c r="C34" s="18"/>
      <c r="D34" s="18"/>
      <c r="E34" s="18"/>
      <c r="F34" s="19"/>
      <c r="G34" s="27"/>
      <c r="H34" s="27"/>
      <c r="I34" s="27"/>
      <c r="J34" s="27"/>
      <c r="K34" s="21"/>
      <c r="L34" s="27"/>
      <c r="M34" s="27"/>
      <c r="N34" s="27"/>
      <c r="O34" s="27"/>
      <c r="P34" s="21"/>
      <c r="Q34" s="28"/>
      <c r="R34" s="28"/>
      <c r="S34" s="28"/>
      <c r="T34" s="28"/>
      <c r="U34" s="19"/>
      <c r="V34" s="29"/>
      <c r="W34" s="29"/>
      <c r="X34" s="29"/>
      <c r="Y34" s="29"/>
      <c r="Z34" s="19"/>
      <c r="AA34" s="24"/>
      <c r="AB34" s="25"/>
      <c r="AC34" s="25"/>
      <c r="AD34" s="26"/>
      <c r="AE34" s="24"/>
      <c r="AF34" s="24"/>
    </row>
    <row r="35" ht="15.75" customHeight="1">
      <c r="B35" s="18"/>
      <c r="C35" s="18"/>
      <c r="D35" s="18"/>
      <c r="E35" s="18"/>
      <c r="F35" s="19"/>
      <c r="G35" s="27"/>
      <c r="H35" s="27"/>
      <c r="I35" s="27"/>
      <c r="J35" s="27"/>
      <c r="K35" s="21"/>
      <c r="L35" s="27"/>
      <c r="M35" s="27"/>
      <c r="N35" s="27"/>
      <c r="O35" s="27"/>
      <c r="P35" s="21"/>
      <c r="Q35" s="28"/>
      <c r="R35" s="28"/>
      <c r="S35" s="28"/>
      <c r="T35" s="28"/>
      <c r="U35" s="19"/>
      <c r="V35" s="27"/>
      <c r="W35" s="27"/>
      <c r="X35" s="27"/>
      <c r="Y35" s="27"/>
      <c r="Z35" s="19"/>
      <c r="AA35" s="24"/>
      <c r="AB35" s="30"/>
      <c r="AC35" s="30"/>
      <c r="AD35" s="30"/>
      <c r="AE35" s="24"/>
      <c r="AF35" s="24"/>
    </row>
    <row r="36" ht="15.75" customHeight="1">
      <c r="B36" s="18"/>
      <c r="C36" s="18"/>
      <c r="D36" s="18"/>
      <c r="E36" s="18"/>
      <c r="F36" s="19"/>
      <c r="G36" s="27"/>
      <c r="H36" s="27"/>
      <c r="I36" s="27"/>
      <c r="J36" s="27"/>
      <c r="K36" s="21"/>
      <c r="L36" s="27"/>
      <c r="M36" s="27"/>
      <c r="N36" s="27"/>
      <c r="O36" s="27"/>
      <c r="P36" s="21"/>
      <c r="Q36" s="28"/>
      <c r="R36" s="28"/>
      <c r="S36" s="28"/>
      <c r="T36" s="28"/>
      <c r="U36" s="19"/>
      <c r="V36" s="27"/>
      <c r="W36" s="27"/>
      <c r="X36" s="27"/>
      <c r="Y36" s="27"/>
      <c r="Z36" s="19"/>
      <c r="AA36" s="24"/>
      <c r="AB36" s="30"/>
      <c r="AC36" s="30"/>
      <c r="AD36" s="30"/>
      <c r="AE36" s="24"/>
      <c r="AF36" s="24"/>
    </row>
    <row r="37" ht="15.75" customHeight="1">
      <c r="B37" s="18"/>
      <c r="C37" s="18"/>
      <c r="D37" s="18"/>
      <c r="E37" s="18"/>
      <c r="F37" s="19"/>
      <c r="G37" s="27"/>
      <c r="H37" s="27"/>
      <c r="I37" s="27"/>
      <c r="J37" s="27"/>
      <c r="K37" s="21"/>
      <c r="L37" s="27"/>
      <c r="M37" s="27"/>
      <c r="N37" s="27"/>
      <c r="O37" s="27"/>
      <c r="P37" s="21"/>
      <c r="Q37" s="28"/>
      <c r="R37" s="28"/>
      <c r="S37" s="28"/>
      <c r="T37" s="28"/>
      <c r="U37" s="19"/>
      <c r="V37" s="27"/>
      <c r="W37" s="27"/>
      <c r="X37" s="27"/>
      <c r="Y37" s="27"/>
      <c r="Z37" s="19"/>
      <c r="AA37" s="24"/>
      <c r="AB37" s="30"/>
      <c r="AC37" s="30"/>
      <c r="AD37" s="30"/>
      <c r="AE37" s="24"/>
      <c r="AF37" s="24"/>
    </row>
    <row r="38" ht="15.75" customHeight="1">
      <c r="B38" s="18"/>
      <c r="C38" s="18"/>
      <c r="D38" s="18"/>
      <c r="E38" s="18"/>
      <c r="F38" s="19"/>
      <c r="G38" s="27"/>
      <c r="H38" s="27"/>
      <c r="I38" s="27"/>
      <c r="J38" s="27"/>
      <c r="K38" s="21"/>
      <c r="L38" s="27"/>
      <c r="M38" s="27"/>
      <c r="N38" s="27"/>
      <c r="O38" s="27"/>
      <c r="P38" s="21"/>
      <c r="Q38" s="28"/>
      <c r="R38" s="28"/>
      <c r="S38" s="28"/>
      <c r="T38" s="28"/>
      <c r="U38" s="19"/>
      <c r="V38" s="27"/>
      <c r="W38" s="27"/>
      <c r="X38" s="27"/>
      <c r="Y38" s="27"/>
      <c r="Z38" s="19"/>
      <c r="AA38" s="24"/>
      <c r="AB38" s="30"/>
      <c r="AC38" s="30"/>
      <c r="AD38" s="30"/>
      <c r="AE38" s="24"/>
      <c r="AF38" s="24"/>
    </row>
    <row r="39" ht="15.75" customHeight="1">
      <c r="B39" s="18"/>
      <c r="C39" s="18"/>
      <c r="D39" s="18"/>
      <c r="E39" s="18"/>
      <c r="F39" s="19"/>
      <c r="G39" s="27"/>
      <c r="H39" s="27"/>
      <c r="I39" s="27"/>
      <c r="J39" s="27"/>
      <c r="K39" s="21"/>
      <c r="L39" s="27"/>
      <c r="M39" s="27"/>
      <c r="N39" s="27"/>
      <c r="O39" s="27"/>
      <c r="P39" s="21"/>
      <c r="Q39" s="28"/>
      <c r="R39" s="28"/>
      <c r="S39" s="28"/>
      <c r="T39" s="28"/>
      <c r="U39" s="19"/>
      <c r="V39" s="27"/>
      <c r="W39" s="27"/>
      <c r="X39" s="27"/>
      <c r="Y39" s="27"/>
      <c r="Z39" s="19"/>
      <c r="AA39" s="24"/>
      <c r="AB39" s="30"/>
      <c r="AC39" s="30"/>
      <c r="AD39" s="30"/>
      <c r="AE39" s="24"/>
      <c r="AF39" s="24"/>
    </row>
    <row r="40" ht="15.75" customHeight="1">
      <c r="B40" s="18"/>
      <c r="C40" s="18"/>
      <c r="D40" s="18"/>
      <c r="E40" s="18"/>
      <c r="F40" s="19"/>
      <c r="G40" s="27"/>
      <c r="H40" s="27"/>
      <c r="I40" s="27"/>
      <c r="J40" s="27"/>
      <c r="K40" s="21"/>
      <c r="L40" s="27"/>
      <c r="M40" s="27"/>
      <c r="N40" s="27"/>
      <c r="O40" s="27"/>
      <c r="P40" s="21"/>
      <c r="Q40" s="28"/>
      <c r="R40" s="28"/>
      <c r="S40" s="28"/>
      <c r="T40" s="28"/>
      <c r="U40" s="19"/>
      <c r="V40" s="27"/>
      <c r="W40" s="27"/>
      <c r="X40" s="27"/>
      <c r="Y40" s="27"/>
      <c r="Z40" s="19"/>
      <c r="AA40" s="24"/>
      <c r="AB40" s="30"/>
      <c r="AC40" s="30"/>
      <c r="AD40" s="30"/>
      <c r="AE40" s="24"/>
      <c r="AF40" s="24"/>
    </row>
    <row r="41" ht="15.75" customHeight="1">
      <c r="B41" s="18"/>
      <c r="C41" s="18"/>
      <c r="D41" s="18"/>
      <c r="E41" s="18"/>
      <c r="F41" s="19"/>
      <c r="G41" s="27"/>
      <c r="H41" s="27"/>
      <c r="I41" s="27"/>
      <c r="J41" s="27"/>
      <c r="K41" s="21"/>
      <c r="L41" s="27"/>
      <c r="M41" s="27"/>
      <c r="N41" s="27"/>
      <c r="O41" s="27"/>
      <c r="P41" s="21"/>
      <c r="Q41" s="28"/>
      <c r="R41" s="28"/>
      <c r="S41" s="28"/>
      <c r="T41" s="28"/>
      <c r="U41" s="19"/>
      <c r="V41" s="27"/>
      <c r="W41" s="27"/>
      <c r="X41" s="27"/>
      <c r="Y41" s="27"/>
      <c r="Z41" s="19"/>
      <c r="AA41" s="24"/>
      <c r="AB41" s="30"/>
      <c r="AC41" s="30"/>
      <c r="AD41" s="30"/>
      <c r="AE41" s="24"/>
      <c r="AF41" s="24"/>
    </row>
    <row r="42" ht="15.75" customHeight="1">
      <c r="B42" s="18"/>
      <c r="C42" s="18"/>
      <c r="D42" s="18"/>
      <c r="E42" s="18"/>
      <c r="F42" s="19"/>
      <c r="G42" s="27"/>
      <c r="H42" s="27"/>
      <c r="I42" s="27"/>
      <c r="J42" s="27"/>
      <c r="K42" s="21"/>
      <c r="L42" s="27"/>
      <c r="M42" s="27"/>
      <c r="N42" s="27"/>
      <c r="O42" s="27"/>
      <c r="P42" s="21"/>
      <c r="Q42" s="28"/>
      <c r="R42" s="28"/>
      <c r="S42" s="28"/>
      <c r="T42" s="28"/>
      <c r="U42" s="19"/>
      <c r="V42" s="27"/>
      <c r="W42" s="27"/>
      <c r="X42" s="27"/>
      <c r="Y42" s="27"/>
      <c r="Z42" s="19"/>
      <c r="AA42" s="24"/>
      <c r="AB42" s="30"/>
      <c r="AC42" s="30"/>
      <c r="AD42" s="30"/>
      <c r="AE42" s="24"/>
      <c r="AF42" s="24"/>
    </row>
    <row r="43" ht="15.75" customHeight="1">
      <c r="B43" s="18"/>
      <c r="C43" s="18"/>
      <c r="D43" s="18"/>
      <c r="E43" s="18"/>
      <c r="F43" s="19"/>
      <c r="G43" s="27"/>
      <c r="H43" s="27"/>
      <c r="I43" s="27"/>
      <c r="J43" s="27"/>
      <c r="K43" s="21"/>
      <c r="L43" s="27"/>
      <c r="M43" s="27"/>
      <c r="N43" s="27"/>
      <c r="O43" s="27"/>
      <c r="P43" s="21"/>
      <c r="Q43" s="28"/>
      <c r="R43" s="28"/>
      <c r="S43" s="28"/>
      <c r="T43" s="28"/>
      <c r="U43" s="19"/>
      <c r="V43" s="27"/>
      <c r="W43" s="27"/>
      <c r="X43" s="27"/>
      <c r="Y43" s="27"/>
      <c r="Z43" s="19"/>
      <c r="AA43" s="24"/>
      <c r="AB43" s="30"/>
      <c r="AC43" s="30"/>
      <c r="AD43" s="30"/>
      <c r="AE43" s="24"/>
      <c r="AF43" s="24"/>
    </row>
    <row r="44" ht="15.75" customHeight="1">
      <c r="B44" s="18"/>
      <c r="C44" s="18"/>
      <c r="D44" s="18"/>
      <c r="E44" s="18"/>
      <c r="F44" s="19"/>
      <c r="G44" s="27"/>
      <c r="H44" s="27"/>
      <c r="I44" s="27"/>
      <c r="J44" s="27"/>
      <c r="K44" s="21"/>
      <c r="L44" s="27"/>
      <c r="M44" s="27"/>
      <c r="N44" s="27"/>
      <c r="O44" s="27"/>
      <c r="P44" s="21"/>
      <c r="Q44" s="28"/>
      <c r="R44" s="28"/>
      <c r="S44" s="28"/>
      <c r="T44" s="28"/>
      <c r="U44" s="19"/>
      <c r="V44" s="27"/>
      <c r="W44" s="27"/>
      <c r="X44" s="27"/>
      <c r="Y44" s="27"/>
      <c r="Z44" s="19"/>
      <c r="AA44" s="24"/>
      <c r="AB44" s="30"/>
      <c r="AC44" s="30"/>
      <c r="AD44" s="30"/>
      <c r="AE44" s="24"/>
      <c r="AF44" s="24"/>
    </row>
    <row r="45" ht="15.75" customHeight="1">
      <c r="B45" s="18"/>
      <c r="C45" s="18"/>
      <c r="D45" s="18"/>
      <c r="E45" s="18"/>
      <c r="F45" s="19"/>
      <c r="G45" s="27"/>
      <c r="H45" s="27"/>
      <c r="I45" s="27"/>
      <c r="J45" s="27"/>
      <c r="K45" s="21"/>
      <c r="L45" s="27"/>
      <c r="M45" s="27"/>
      <c r="N45" s="27"/>
      <c r="O45" s="27"/>
      <c r="P45" s="21"/>
      <c r="Q45" s="28"/>
      <c r="R45" s="28"/>
      <c r="S45" s="28"/>
      <c r="T45" s="28"/>
      <c r="U45" s="19"/>
      <c r="V45" s="27"/>
      <c r="W45" s="27"/>
      <c r="X45" s="27"/>
      <c r="Y45" s="27"/>
      <c r="Z45" s="19"/>
      <c r="AA45" s="24"/>
      <c r="AB45" s="30"/>
      <c r="AC45" s="30"/>
      <c r="AD45" s="30"/>
      <c r="AE45" s="24"/>
      <c r="AF45" s="24"/>
    </row>
    <row r="46" ht="15.75" customHeight="1">
      <c r="B46" s="18"/>
      <c r="C46" s="18"/>
      <c r="D46" s="18"/>
      <c r="E46" s="18"/>
      <c r="F46" s="19"/>
      <c r="G46" s="27"/>
      <c r="H46" s="27"/>
      <c r="I46" s="27"/>
      <c r="J46" s="27"/>
      <c r="K46" s="21"/>
      <c r="L46" s="27"/>
      <c r="M46" s="27"/>
      <c r="N46" s="27"/>
      <c r="O46" s="27"/>
      <c r="P46" s="21"/>
      <c r="Q46" s="28"/>
      <c r="R46" s="28"/>
      <c r="S46" s="28"/>
      <c r="T46" s="28"/>
      <c r="U46" s="19"/>
      <c r="V46" s="27"/>
      <c r="W46" s="27"/>
      <c r="X46" s="27"/>
      <c r="Y46" s="27"/>
      <c r="Z46" s="19"/>
      <c r="AA46" s="24"/>
      <c r="AB46" s="30"/>
      <c r="AC46" s="30"/>
      <c r="AD46" s="30"/>
      <c r="AE46" s="24"/>
      <c r="AF46" s="24"/>
    </row>
    <row r="47" ht="15.75" customHeight="1">
      <c r="B47" s="18"/>
      <c r="C47" s="18"/>
      <c r="D47" s="18"/>
      <c r="E47" s="18"/>
      <c r="F47" s="19"/>
      <c r="G47" s="27"/>
      <c r="H47" s="27"/>
      <c r="I47" s="27"/>
      <c r="J47" s="27"/>
      <c r="K47" s="21"/>
      <c r="L47" s="27"/>
      <c r="M47" s="27"/>
      <c r="N47" s="27"/>
      <c r="O47" s="27"/>
      <c r="P47" s="21"/>
      <c r="Q47" s="28"/>
      <c r="R47" s="28"/>
      <c r="S47" s="28"/>
      <c r="T47" s="28"/>
      <c r="U47" s="19"/>
      <c r="V47" s="27"/>
      <c r="W47" s="27"/>
      <c r="X47" s="27"/>
      <c r="Y47" s="27"/>
      <c r="Z47" s="19"/>
      <c r="AA47" s="24"/>
      <c r="AB47" s="30"/>
      <c r="AC47" s="30"/>
      <c r="AD47" s="30"/>
      <c r="AE47" s="24"/>
      <c r="AF47" s="24"/>
    </row>
    <row r="48" ht="15.75" customHeight="1">
      <c r="B48" s="18"/>
      <c r="C48" s="18"/>
      <c r="D48" s="18"/>
      <c r="E48" s="18"/>
      <c r="F48" s="19"/>
      <c r="G48" s="27"/>
      <c r="H48" s="27"/>
      <c r="I48" s="27"/>
      <c r="J48" s="27"/>
      <c r="K48" s="21"/>
      <c r="L48" s="27"/>
      <c r="M48" s="27"/>
      <c r="N48" s="27"/>
      <c r="O48" s="27"/>
      <c r="P48" s="21"/>
      <c r="Q48" s="28"/>
      <c r="R48" s="28"/>
      <c r="S48" s="28"/>
      <c r="T48" s="28"/>
      <c r="U48" s="19"/>
      <c r="V48" s="27"/>
      <c r="W48" s="27"/>
      <c r="X48" s="27"/>
      <c r="Y48" s="27"/>
      <c r="Z48" s="19"/>
      <c r="AA48" s="24"/>
      <c r="AB48" s="30"/>
      <c r="AC48" s="30"/>
      <c r="AD48" s="30"/>
      <c r="AE48" s="24"/>
      <c r="AF48" s="24"/>
    </row>
    <row r="49" ht="15.75" customHeight="1">
      <c r="B49" s="18"/>
      <c r="C49" s="18"/>
      <c r="D49" s="18"/>
      <c r="E49" s="18"/>
      <c r="F49" s="19"/>
      <c r="G49" s="27"/>
      <c r="H49" s="27"/>
      <c r="I49" s="27"/>
      <c r="J49" s="27"/>
      <c r="K49" s="21"/>
      <c r="L49" s="27"/>
      <c r="M49" s="27"/>
      <c r="N49" s="27"/>
      <c r="O49" s="27"/>
      <c r="P49" s="21"/>
      <c r="Q49" s="28"/>
      <c r="R49" s="28"/>
      <c r="S49" s="28"/>
      <c r="T49" s="28"/>
      <c r="U49" s="19"/>
      <c r="V49" s="27"/>
      <c r="W49" s="27"/>
      <c r="X49" s="27"/>
      <c r="Y49" s="27"/>
      <c r="Z49" s="19"/>
      <c r="AA49" s="24"/>
      <c r="AB49" s="30"/>
      <c r="AC49" s="30"/>
      <c r="AD49" s="30"/>
      <c r="AE49" s="24"/>
      <c r="AF49" s="24"/>
    </row>
    <row r="50" ht="15.75" customHeight="1">
      <c r="B50" s="18"/>
      <c r="C50" s="18"/>
      <c r="D50" s="18"/>
      <c r="E50" s="18"/>
      <c r="F50" s="19"/>
      <c r="G50" s="27"/>
      <c r="H50" s="27"/>
      <c r="I50" s="27"/>
      <c r="J50" s="27"/>
      <c r="K50" s="21"/>
      <c r="L50" s="27"/>
      <c r="M50" s="27"/>
      <c r="N50" s="27"/>
      <c r="O50" s="27"/>
      <c r="P50" s="21"/>
      <c r="Q50" s="28"/>
      <c r="R50" s="28"/>
      <c r="S50" s="28"/>
      <c r="T50" s="28"/>
      <c r="U50" s="19"/>
      <c r="V50" s="27"/>
      <c r="W50" s="27"/>
      <c r="X50" s="27"/>
      <c r="Y50" s="27"/>
      <c r="Z50" s="19"/>
      <c r="AA50" s="24"/>
      <c r="AB50" s="30"/>
      <c r="AC50" s="30"/>
      <c r="AD50" s="30"/>
      <c r="AE50" s="24"/>
      <c r="AF50" s="24"/>
    </row>
    <row r="51" ht="15.75" customHeight="1">
      <c r="B51" s="18"/>
      <c r="C51" s="18"/>
      <c r="D51" s="18"/>
      <c r="E51" s="18"/>
      <c r="F51" s="19"/>
      <c r="G51" s="27"/>
      <c r="H51" s="27"/>
      <c r="I51" s="27"/>
      <c r="J51" s="27"/>
      <c r="K51" s="21"/>
      <c r="L51" s="27"/>
      <c r="M51" s="27"/>
      <c r="N51" s="27"/>
      <c r="O51" s="27"/>
      <c r="P51" s="21"/>
      <c r="Q51" s="28"/>
      <c r="R51" s="28"/>
      <c r="S51" s="28"/>
      <c r="T51" s="28"/>
      <c r="U51" s="19"/>
      <c r="V51" s="27"/>
      <c r="W51" s="27"/>
      <c r="X51" s="27"/>
      <c r="Y51" s="27"/>
      <c r="Z51" s="19"/>
      <c r="AA51" s="24"/>
      <c r="AB51" s="30"/>
      <c r="AC51" s="30"/>
      <c r="AD51" s="30"/>
      <c r="AE51" s="24"/>
      <c r="AF51" s="24"/>
    </row>
    <row r="52" ht="15.75" customHeight="1">
      <c r="B52" s="18"/>
      <c r="C52" s="18"/>
      <c r="D52" s="18"/>
      <c r="E52" s="18"/>
      <c r="F52" s="19"/>
      <c r="G52" s="27"/>
      <c r="H52" s="27"/>
      <c r="I52" s="27"/>
      <c r="J52" s="27"/>
      <c r="K52" s="21"/>
      <c r="L52" s="27"/>
      <c r="M52" s="27"/>
      <c r="N52" s="27"/>
      <c r="O52" s="27"/>
      <c r="P52" s="21"/>
      <c r="Q52" s="28"/>
      <c r="R52" s="28"/>
      <c r="S52" s="28"/>
      <c r="T52" s="28"/>
      <c r="U52" s="19"/>
      <c r="V52" s="27"/>
      <c r="W52" s="27"/>
      <c r="X52" s="27"/>
      <c r="Y52" s="27"/>
      <c r="Z52" s="19"/>
      <c r="AA52" s="24"/>
      <c r="AB52" s="30"/>
      <c r="AC52" s="30"/>
      <c r="AD52" s="30"/>
      <c r="AE52" s="24"/>
      <c r="AF52" s="24"/>
    </row>
    <row r="53" ht="15.75" customHeight="1">
      <c r="B53" s="18"/>
      <c r="C53" s="18"/>
      <c r="D53" s="18"/>
      <c r="E53" s="18"/>
      <c r="F53" s="19"/>
      <c r="G53" s="27"/>
      <c r="H53" s="27"/>
      <c r="I53" s="27"/>
      <c r="J53" s="27"/>
      <c r="K53" s="21"/>
      <c r="L53" s="27"/>
      <c r="M53" s="27"/>
      <c r="N53" s="27"/>
      <c r="O53" s="27"/>
      <c r="P53" s="21"/>
      <c r="Q53" s="28"/>
      <c r="R53" s="28"/>
      <c r="S53" s="28"/>
      <c r="T53" s="28"/>
      <c r="U53" s="19"/>
      <c r="V53" s="27"/>
      <c r="W53" s="27"/>
      <c r="X53" s="27"/>
      <c r="Y53" s="27"/>
      <c r="Z53" s="19"/>
      <c r="AA53" s="24"/>
      <c r="AB53" s="30"/>
      <c r="AC53" s="30"/>
      <c r="AD53" s="30"/>
      <c r="AE53" s="24"/>
      <c r="AF53" s="24"/>
    </row>
    <row r="54" ht="15.75" customHeight="1">
      <c r="B54" s="18"/>
      <c r="C54" s="18"/>
      <c r="D54" s="18"/>
      <c r="E54" s="18"/>
      <c r="F54" s="19"/>
      <c r="G54" s="27"/>
      <c r="H54" s="27"/>
      <c r="I54" s="27"/>
      <c r="J54" s="27"/>
      <c r="K54" s="21"/>
      <c r="L54" s="27"/>
      <c r="M54" s="27"/>
      <c r="N54" s="27"/>
      <c r="O54" s="27"/>
      <c r="P54" s="21"/>
      <c r="Q54" s="28"/>
      <c r="R54" s="28"/>
      <c r="S54" s="28"/>
      <c r="T54" s="28"/>
      <c r="U54" s="19"/>
      <c r="V54" s="27"/>
      <c r="W54" s="27"/>
      <c r="X54" s="27"/>
      <c r="Y54" s="27"/>
      <c r="Z54" s="19"/>
      <c r="AA54" s="24"/>
      <c r="AB54" s="30"/>
      <c r="AC54" s="30"/>
      <c r="AD54" s="30"/>
      <c r="AE54" s="24"/>
      <c r="AF54" s="24"/>
    </row>
    <row r="55" ht="15.75" customHeight="1">
      <c r="B55" s="18"/>
      <c r="C55" s="18"/>
      <c r="D55" s="18"/>
      <c r="E55" s="18"/>
      <c r="F55" s="19"/>
      <c r="G55" s="27"/>
      <c r="H55" s="27"/>
      <c r="I55" s="27"/>
      <c r="J55" s="27"/>
      <c r="K55" s="21"/>
      <c r="L55" s="27"/>
      <c r="M55" s="27"/>
      <c r="N55" s="27"/>
      <c r="O55" s="27"/>
      <c r="P55" s="21"/>
      <c r="Q55" s="28"/>
      <c r="R55" s="28"/>
      <c r="S55" s="28"/>
      <c r="T55" s="28"/>
      <c r="U55" s="19"/>
      <c r="V55" s="27"/>
      <c r="W55" s="27"/>
      <c r="X55" s="27"/>
      <c r="Y55" s="27"/>
      <c r="Z55" s="19"/>
      <c r="AA55" s="24"/>
      <c r="AB55" s="30"/>
      <c r="AC55" s="30"/>
      <c r="AD55" s="30"/>
      <c r="AE55" s="24"/>
      <c r="AF55" s="24"/>
    </row>
    <row r="56" ht="15.75" customHeight="1">
      <c r="B56" s="18"/>
      <c r="C56" s="18"/>
      <c r="D56" s="18"/>
      <c r="E56" s="18"/>
      <c r="F56" s="19"/>
      <c r="G56" s="27"/>
      <c r="H56" s="27"/>
      <c r="I56" s="27"/>
      <c r="J56" s="27"/>
      <c r="K56" s="21"/>
      <c r="L56" s="27"/>
      <c r="M56" s="27"/>
      <c r="N56" s="27"/>
      <c r="O56" s="27"/>
      <c r="P56" s="21"/>
      <c r="Q56" s="28"/>
      <c r="R56" s="28"/>
      <c r="S56" s="28"/>
      <c r="T56" s="28"/>
      <c r="U56" s="19"/>
      <c r="V56" s="27"/>
      <c r="W56" s="27"/>
      <c r="X56" s="27"/>
      <c r="Y56" s="27"/>
      <c r="Z56" s="19"/>
      <c r="AA56" s="24"/>
      <c r="AB56" s="30"/>
      <c r="AC56" s="30"/>
      <c r="AD56" s="30"/>
      <c r="AE56" s="24"/>
      <c r="AF56" s="24"/>
    </row>
    <row r="57" ht="15.75" customHeight="1">
      <c r="B57" s="18"/>
      <c r="C57" s="18"/>
      <c r="D57" s="18"/>
      <c r="E57" s="18"/>
      <c r="F57" s="19"/>
      <c r="G57" s="27"/>
      <c r="H57" s="27"/>
      <c r="I57" s="27"/>
      <c r="J57" s="27"/>
      <c r="K57" s="21"/>
      <c r="L57" s="27"/>
      <c r="M57" s="27"/>
      <c r="N57" s="27"/>
      <c r="O57" s="27"/>
      <c r="P57" s="21"/>
      <c r="Q57" s="28"/>
      <c r="R57" s="28"/>
      <c r="S57" s="28"/>
      <c r="T57" s="28"/>
      <c r="U57" s="19"/>
      <c r="V57" s="27"/>
      <c r="W57" s="27"/>
      <c r="X57" s="27"/>
      <c r="Y57" s="27"/>
      <c r="Z57" s="19"/>
      <c r="AA57" s="24"/>
      <c r="AB57" s="30"/>
      <c r="AC57" s="30"/>
      <c r="AD57" s="30"/>
      <c r="AE57" s="24"/>
      <c r="AF57" s="24"/>
    </row>
    <row r="58" ht="15.75" customHeight="1">
      <c r="B58" s="18"/>
      <c r="C58" s="18"/>
      <c r="D58" s="18"/>
      <c r="E58" s="18"/>
      <c r="F58" s="19"/>
      <c r="G58" s="27"/>
      <c r="H58" s="27"/>
      <c r="I58" s="27"/>
      <c r="J58" s="27"/>
      <c r="K58" s="21"/>
      <c r="L58" s="27"/>
      <c r="M58" s="27"/>
      <c r="N58" s="27"/>
      <c r="O58" s="27"/>
      <c r="P58" s="21"/>
      <c r="Q58" s="28"/>
      <c r="R58" s="28"/>
      <c r="S58" s="28"/>
      <c r="T58" s="28"/>
      <c r="U58" s="19"/>
      <c r="V58" s="27"/>
      <c r="W58" s="27"/>
      <c r="X58" s="27"/>
      <c r="Y58" s="27"/>
      <c r="Z58" s="19"/>
      <c r="AA58" s="24"/>
      <c r="AB58" s="30"/>
      <c r="AC58" s="30"/>
      <c r="AD58" s="30"/>
      <c r="AE58" s="24"/>
      <c r="AF58" s="24"/>
    </row>
    <row r="59" ht="15.75" customHeight="1">
      <c r="B59" s="18"/>
      <c r="C59" s="18"/>
      <c r="D59" s="18"/>
      <c r="E59" s="18"/>
      <c r="F59" s="19"/>
      <c r="G59" s="27"/>
      <c r="H59" s="27"/>
      <c r="I59" s="27"/>
      <c r="J59" s="27"/>
      <c r="K59" s="21"/>
      <c r="L59" s="27"/>
      <c r="M59" s="27"/>
      <c r="N59" s="27"/>
      <c r="O59" s="27"/>
      <c r="P59" s="21"/>
      <c r="Q59" s="28"/>
      <c r="R59" s="28"/>
      <c r="S59" s="28"/>
      <c r="T59" s="28"/>
      <c r="U59" s="19"/>
      <c r="V59" s="27"/>
      <c r="W59" s="27"/>
      <c r="X59" s="27"/>
      <c r="Y59" s="27"/>
      <c r="Z59" s="19"/>
      <c r="AA59" s="24"/>
      <c r="AB59" s="30"/>
      <c r="AC59" s="30"/>
      <c r="AD59" s="30"/>
      <c r="AE59" s="24"/>
      <c r="AF59" s="24"/>
    </row>
    <row r="60" ht="15.75" customHeight="1">
      <c r="B60" s="18"/>
      <c r="C60" s="18"/>
      <c r="D60" s="18"/>
      <c r="E60" s="18"/>
      <c r="F60" s="19"/>
      <c r="G60" s="27"/>
      <c r="H60" s="27"/>
      <c r="I60" s="27"/>
      <c r="J60" s="27"/>
      <c r="K60" s="21"/>
      <c r="L60" s="27"/>
      <c r="M60" s="27"/>
      <c r="N60" s="27"/>
      <c r="O60" s="27"/>
      <c r="P60" s="21"/>
      <c r="Q60" s="28"/>
      <c r="R60" s="28"/>
      <c r="S60" s="28"/>
      <c r="T60" s="28"/>
      <c r="U60" s="19"/>
      <c r="V60" s="27"/>
      <c r="W60" s="27"/>
      <c r="X60" s="27"/>
      <c r="Y60" s="27"/>
      <c r="Z60" s="19"/>
      <c r="AA60" s="24"/>
      <c r="AB60" s="30"/>
      <c r="AC60" s="30"/>
      <c r="AD60" s="30"/>
      <c r="AE60" s="24"/>
      <c r="AF60" s="24"/>
    </row>
    <row r="61" ht="15.75" customHeight="1">
      <c r="B61" s="18"/>
      <c r="C61" s="18"/>
      <c r="D61" s="18"/>
      <c r="E61" s="18"/>
      <c r="F61" s="19"/>
      <c r="G61" s="27"/>
      <c r="H61" s="27"/>
      <c r="I61" s="27"/>
      <c r="J61" s="27"/>
      <c r="K61" s="21"/>
      <c r="L61" s="27"/>
      <c r="M61" s="27"/>
      <c r="N61" s="27"/>
      <c r="O61" s="27"/>
      <c r="P61" s="21"/>
      <c r="Q61" s="28"/>
      <c r="R61" s="28"/>
      <c r="S61" s="28"/>
      <c r="T61" s="28"/>
      <c r="U61" s="19"/>
      <c r="V61" s="27"/>
      <c r="W61" s="27"/>
      <c r="X61" s="27"/>
      <c r="Y61" s="27"/>
      <c r="Z61" s="19"/>
      <c r="AA61" s="24"/>
      <c r="AB61" s="30"/>
      <c r="AC61" s="30"/>
      <c r="AD61" s="30"/>
      <c r="AE61" s="24"/>
      <c r="AF61" s="24"/>
    </row>
    <row r="62" ht="15.75" customHeight="1">
      <c r="B62" s="18"/>
      <c r="C62" s="18"/>
      <c r="D62" s="18"/>
      <c r="E62" s="18"/>
      <c r="F62" s="19"/>
      <c r="G62" s="27"/>
      <c r="H62" s="27"/>
      <c r="I62" s="27"/>
      <c r="J62" s="27"/>
      <c r="K62" s="21"/>
      <c r="L62" s="27"/>
      <c r="M62" s="27"/>
      <c r="N62" s="27"/>
      <c r="O62" s="27"/>
      <c r="P62" s="21"/>
      <c r="Q62" s="28"/>
      <c r="R62" s="28"/>
      <c r="S62" s="28"/>
      <c r="T62" s="28"/>
      <c r="U62" s="19"/>
      <c r="V62" s="27"/>
      <c r="W62" s="27"/>
      <c r="X62" s="27"/>
      <c r="Y62" s="27"/>
      <c r="Z62" s="19"/>
      <c r="AA62" s="24"/>
      <c r="AB62" s="30"/>
      <c r="AC62" s="30"/>
      <c r="AD62" s="30"/>
      <c r="AE62" s="24"/>
      <c r="AF62" s="24"/>
    </row>
    <row r="63" ht="15.75" customHeight="1">
      <c r="B63" s="18"/>
      <c r="C63" s="18"/>
      <c r="D63" s="18"/>
      <c r="E63" s="18"/>
      <c r="F63" s="19"/>
      <c r="G63" s="27"/>
      <c r="H63" s="27"/>
      <c r="I63" s="27"/>
      <c r="J63" s="27"/>
      <c r="K63" s="21"/>
      <c r="L63" s="27"/>
      <c r="M63" s="27"/>
      <c r="N63" s="27"/>
      <c r="O63" s="27"/>
      <c r="P63" s="21"/>
      <c r="Q63" s="28"/>
      <c r="R63" s="28"/>
      <c r="S63" s="28"/>
      <c r="T63" s="28"/>
      <c r="U63" s="19"/>
      <c r="V63" s="27"/>
      <c r="W63" s="27"/>
      <c r="X63" s="27"/>
      <c r="Y63" s="27"/>
      <c r="Z63" s="19"/>
      <c r="AA63" s="24"/>
      <c r="AB63" s="30"/>
      <c r="AC63" s="30"/>
      <c r="AD63" s="30"/>
      <c r="AE63" s="24"/>
      <c r="AF63" s="24"/>
    </row>
    <row r="64" ht="15.75" customHeight="1">
      <c r="B64" s="18"/>
      <c r="C64" s="18"/>
      <c r="D64" s="18"/>
      <c r="E64" s="18"/>
      <c r="F64" s="19"/>
      <c r="G64" s="27"/>
      <c r="H64" s="27"/>
      <c r="I64" s="27"/>
      <c r="J64" s="27"/>
      <c r="K64" s="21"/>
      <c r="L64" s="27"/>
      <c r="M64" s="27"/>
      <c r="N64" s="27"/>
      <c r="O64" s="27"/>
      <c r="P64" s="21"/>
      <c r="Q64" s="28"/>
      <c r="R64" s="28"/>
      <c r="S64" s="28"/>
      <c r="T64" s="28"/>
      <c r="U64" s="19"/>
      <c r="V64" s="27"/>
      <c r="W64" s="27"/>
      <c r="X64" s="27"/>
      <c r="Y64" s="27"/>
      <c r="Z64" s="19"/>
      <c r="AA64" s="24"/>
      <c r="AB64" s="30"/>
      <c r="AC64" s="30"/>
      <c r="AD64" s="30"/>
      <c r="AE64" s="24"/>
      <c r="AF64" s="24"/>
    </row>
    <row r="65" ht="15.75" customHeight="1">
      <c r="B65" s="18"/>
      <c r="C65" s="18"/>
      <c r="D65" s="18"/>
      <c r="E65" s="18"/>
      <c r="F65" s="19"/>
      <c r="G65" s="27"/>
      <c r="H65" s="27"/>
      <c r="I65" s="27"/>
      <c r="J65" s="27"/>
      <c r="K65" s="21"/>
      <c r="L65" s="27"/>
      <c r="M65" s="27"/>
      <c r="N65" s="27"/>
      <c r="O65" s="27"/>
      <c r="P65" s="21"/>
      <c r="Q65" s="28"/>
      <c r="R65" s="28"/>
      <c r="S65" s="28"/>
      <c r="T65" s="28"/>
      <c r="U65" s="19"/>
      <c r="V65" s="27"/>
      <c r="W65" s="27"/>
      <c r="X65" s="27"/>
      <c r="Y65" s="27"/>
      <c r="Z65" s="19"/>
      <c r="AA65" s="24"/>
      <c r="AB65" s="30"/>
      <c r="AC65" s="30"/>
      <c r="AD65" s="30"/>
      <c r="AE65" s="24"/>
      <c r="AF65" s="24"/>
    </row>
    <row r="66" ht="15.75" customHeight="1">
      <c r="B66" s="18"/>
      <c r="C66" s="18"/>
      <c r="D66" s="18"/>
      <c r="E66" s="18"/>
      <c r="F66" s="19"/>
      <c r="G66" s="27"/>
      <c r="H66" s="27"/>
      <c r="I66" s="27"/>
      <c r="J66" s="27"/>
      <c r="K66" s="21"/>
      <c r="L66" s="27"/>
      <c r="M66" s="27"/>
      <c r="N66" s="27"/>
      <c r="O66" s="27"/>
      <c r="P66" s="21"/>
      <c r="Q66" s="28"/>
      <c r="R66" s="28"/>
      <c r="S66" s="28"/>
      <c r="T66" s="28"/>
      <c r="U66" s="19"/>
      <c r="V66" s="27"/>
      <c r="W66" s="27"/>
      <c r="X66" s="27"/>
      <c r="Y66" s="27"/>
      <c r="Z66" s="19"/>
      <c r="AA66" s="24"/>
      <c r="AB66" s="30"/>
      <c r="AC66" s="30"/>
      <c r="AD66" s="30"/>
      <c r="AE66" s="24"/>
      <c r="AF66" s="24"/>
    </row>
    <row r="67" ht="15.75" customHeight="1">
      <c r="B67" s="18"/>
      <c r="C67" s="18"/>
      <c r="D67" s="18"/>
      <c r="E67" s="18"/>
      <c r="F67" s="19"/>
      <c r="G67" s="27"/>
      <c r="H67" s="27"/>
      <c r="I67" s="27"/>
      <c r="J67" s="27"/>
      <c r="K67" s="21"/>
      <c r="L67" s="27"/>
      <c r="M67" s="27"/>
      <c r="N67" s="27"/>
      <c r="O67" s="27"/>
      <c r="P67" s="21"/>
      <c r="Q67" s="28"/>
      <c r="R67" s="28"/>
      <c r="S67" s="28"/>
      <c r="T67" s="28"/>
      <c r="U67" s="19"/>
      <c r="V67" s="27"/>
      <c r="W67" s="27"/>
      <c r="X67" s="27"/>
      <c r="Y67" s="27"/>
      <c r="Z67" s="19"/>
      <c r="AA67" s="24"/>
      <c r="AB67" s="30"/>
      <c r="AC67" s="30"/>
      <c r="AD67" s="30"/>
      <c r="AE67" s="24"/>
      <c r="AF67" s="24"/>
    </row>
    <row r="68" ht="15.75" customHeight="1">
      <c r="B68" s="18"/>
      <c r="C68" s="18"/>
      <c r="D68" s="18"/>
      <c r="E68" s="18"/>
      <c r="F68" s="19"/>
      <c r="G68" s="27"/>
      <c r="H68" s="27"/>
      <c r="I68" s="27"/>
      <c r="J68" s="27"/>
      <c r="K68" s="21"/>
      <c r="L68" s="27"/>
      <c r="M68" s="27"/>
      <c r="N68" s="27"/>
      <c r="O68" s="27"/>
      <c r="P68" s="21"/>
      <c r="Q68" s="28"/>
      <c r="R68" s="28"/>
      <c r="S68" s="28"/>
      <c r="T68" s="28"/>
      <c r="U68" s="19"/>
      <c r="V68" s="27"/>
      <c r="W68" s="27"/>
      <c r="X68" s="27"/>
      <c r="Y68" s="27"/>
      <c r="Z68" s="19"/>
      <c r="AA68" s="24"/>
      <c r="AB68" s="30"/>
      <c r="AC68" s="30"/>
      <c r="AD68" s="30"/>
      <c r="AE68" s="24"/>
      <c r="AF68" s="24"/>
    </row>
    <row r="69" ht="15.75" customHeight="1">
      <c r="B69" s="18"/>
      <c r="C69" s="18"/>
      <c r="D69" s="18"/>
      <c r="E69" s="18"/>
      <c r="F69" s="19"/>
      <c r="G69" s="27"/>
      <c r="H69" s="27"/>
      <c r="I69" s="27"/>
      <c r="J69" s="27"/>
      <c r="K69" s="21"/>
      <c r="L69" s="27"/>
      <c r="M69" s="27"/>
      <c r="N69" s="27"/>
      <c r="O69" s="27"/>
      <c r="P69" s="21"/>
      <c r="Q69" s="28"/>
      <c r="R69" s="28"/>
      <c r="S69" s="28"/>
      <c r="T69" s="28"/>
      <c r="U69" s="19"/>
      <c r="V69" s="27"/>
      <c r="W69" s="27"/>
      <c r="X69" s="27"/>
      <c r="Y69" s="27"/>
      <c r="Z69" s="19"/>
      <c r="AA69" s="24"/>
      <c r="AB69" s="30"/>
      <c r="AC69" s="30"/>
      <c r="AD69" s="30"/>
      <c r="AE69" s="24"/>
      <c r="AF69" s="24"/>
    </row>
    <row r="70" ht="15.75" customHeight="1">
      <c r="B70" s="18"/>
      <c r="C70" s="18"/>
      <c r="D70" s="18"/>
      <c r="E70" s="18"/>
      <c r="F70" s="19"/>
      <c r="G70" s="27"/>
      <c r="H70" s="27"/>
      <c r="I70" s="27"/>
      <c r="J70" s="27"/>
      <c r="K70" s="21"/>
      <c r="L70" s="27"/>
      <c r="M70" s="27"/>
      <c r="N70" s="27"/>
      <c r="O70" s="27"/>
      <c r="P70" s="21"/>
      <c r="Q70" s="28"/>
      <c r="R70" s="28"/>
      <c r="S70" s="28"/>
      <c r="T70" s="28"/>
      <c r="U70" s="19"/>
      <c r="V70" s="27"/>
      <c r="W70" s="27"/>
      <c r="X70" s="27"/>
      <c r="Y70" s="27"/>
      <c r="Z70" s="19"/>
      <c r="AA70" s="24"/>
      <c r="AB70" s="30"/>
      <c r="AC70" s="30"/>
      <c r="AD70" s="30"/>
      <c r="AE70" s="24"/>
      <c r="AF70" s="24"/>
    </row>
    <row r="71" ht="15.75" customHeight="1">
      <c r="B71" s="18"/>
      <c r="C71" s="18"/>
      <c r="D71" s="18"/>
      <c r="E71" s="18"/>
      <c r="F71" s="19"/>
      <c r="G71" s="27"/>
      <c r="H71" s="27"/>
      <c r="I71" s="27"/>
      <c r="J71" s="27"/>
      <c r="K71" s="21"/>
      <c r="L71" s="27"/>
      <c r="M71" s="27"/>
      <c r="N71" s="27"/>
      <c r="O71" s="27"/>
      <c r="P71" s="21"/>
      <c r="Q71" s="28"/>
      <c r="R71" s="28"/>
      <c r="S71" s="28"/>
      <c r="T71" s="28"/>
      <c r="U71" s="19"/>
      <c r="V71" s="27"/>
      <c r="W71" s="27"/>
      <c r="X71" s="27"/>
      <c r="Y71" s="27"/>
      <c r="Z71" s="19"/>
      <c r="AA71" s="24"/>
      <c r="AB71" s="30"/>
      <c r="AC71" s="30"/>
      <c r="AD71" s="30"/>
      <c r="AE71" s="24"/>
      <c r="AF71" s="24"/>
    </row>
    <row r="72" ht="15.75" customHeight="1">
      <c r="B72" s="18"/>
      <c r="C72" s="18"/>
      <c r="D72" s="18"/>
      <c r="E72" s="18"/>
      <c r="F72" s="19"/>
      <c r="G72" s="27"/>
      <c r="H72" s="27"/>
      <c r="I72" s="27"/>
      <c r="J72" s="27"/>
      <c r="K72" s="21"/>
      <c r="L72" s="27"/>
      <c r="M72" s="27"/>
      <c r="N72" s="27"/>
      <c r="O72" s="27"/>
      <c r="P72" s="21"/>
      <c r="Q72" s="28"/>
      <c r="R72" s="28"/>
      <c r="S72" s="28"/>
      <c r="T72" s="28"/>
      <c r="U72" s="19"/>
      <c r="V72" s="27"/>
      <c r="W72" s="27"/>
      <c r="X72" s="27"/>
      <c r="Y72" s="27"/>
      <c r="Z72" s="19"/>
      <c r="AA72" s="24"/>
      <c r="AB72" s="30"/>
      <c r="AC72" s="30"/>
      <c r="AD72" s="30"/>
      <c r="AE72" s="24"/>
      <c r="AF72" s="24"/>
    </row>
    <row r="73" ht="15.75" customHeight="1">
      <c r="B73" s="18"/>
      <c r="C73" s="18"/>
      <c r="D73" s="18"/>
      <c r="E73" s="18"/>
      <c r="F73" s="19"/>
      <c r="G73" s="27"/>
      <c r="H73" s="27"/>
      <c r="I73" s="27"/>
      <c r="J73" s="27"/>
      <c r="K73" s="21"/>
      <c r="L73" s="27"/>
      <c r="M73" s="27"/>
      <c r="N73" s="27"/>
      <c r="O73" s="27"/>
      <c r="P73" s="21"/>
      <c r="Q73" s="28"/>
      <c r="R73" s="28"/>
      <c r="S73" s="28"/>
      <c r="T73" s="28"/>
      <c r="U73" s="19"/>
      <c r="V73" s="27"/>
      <c r="W73" s="27"/>
      <c r="X73" s="27"/>
      <c r="Y73" s="27"/>
      <c r="Z73" s="19"/>
      <c r="AA73" s="24"/>
      <c r="AB73" s="30"/>
      <c r="AC73" s="30"/>
      <c r="AD73" s="30"/>
      <c r="AE73" s="24"/>
      <c r="AF73" s="24"/>
    </row>
    <row r="74" ht="15.75" customHeight="1">
      <c r="B74" s="18"/>
      <c r="C74" s="18"/>
      <c r="D74" s="18"/>
      <c r="E74" s="18"/>
      <c r="F74" s="19"/>
      <c r="G74" s="27"/>
      <c r="H74" s="27"/>
      <c r="I74" s="27"/>
      <c r="J74" s="27"/>
      <c r="K74" s="21"/>
      <c r="L74" s="27"/>
      <c r="M74" s="27"/>
      <c r="N74" s="27"/>
      <c r="O74" s="27"/>
      <c r="P74" s="21"/>
      <c r="Q74" s="28"/>
      <c r="R74" s="28"/>
      <c r="S74" s="28"/>
      <c r="T74" s="28"/>
      <c r="U74" s="19"/>
      <c r="V74" s="27"/>
      <c r="W74" s="27"/>
      <c r="X74" s="27"/>
      <c r="Y74" s="27"/>
      <c r="Z74" s="19"/>
      <c r="AA74" s="24"/>
      <c r="AB74" s="30"/>
      <c r="AC74" s="30"/>
      <c r="AD74" s="30"/>
      <c r="AE74" s="24"/>
      <c r="AF74" s="24"/>
    </row>
    <row r="75" ht="15.75" customHeight="1">
      <c r="B75" s="18"/>
      <c r="C75" s="18"/>
      <c r="D75" s="18"/>
      <c r="E75" s="18"/>
      <c r="F75" s="19"/>
      <c r="G75" s="27"/>
      <c r="H75" s="27"/>
      <c r="I75" s="27"/>
      <c r="J75" s="27"/>
      <c r="K75" s="21"/>
      <c r="L75" s="27"/>
      <c r="M75" s="27"/>
      <c r="N75" s="27"/>
      <c r="O75" s="27"/>
      <c r="P75" s="21"/>
      <c r="Q75" s="28"/>
      <c r="R75" s="28"/>
      <c r="S75" s="28"/>
      <c r="T75" s="28"/>
      <c r="U75" s="19"/>
      <c r="V75" s="27"/>
      <c r="W75" s="27"/>
      <c r="X75" s="27"/>
      <c r="Y75" s="27"/>
      <c r="Z75" s="19"/>
      <c r="AA75" s="24"/>
      <c r="AB75" s="30"/>
      <c r="AC75" s="30"/>
      <c r="AD75" s="30"/>
      <c r="AE75" s="24"/>
      <c r="AF75" s="24"/>
    </row>
    <row r="76" ht="15.75" customHeight="1">
      <c r="B76" s="18"/>
      <c r="C76" s="18"/>
      <c r="D76" s="18"/>
      <c r="E76" s="18"/>
      <c r="F76" s="19"/>
      <c r="G76" s="27"/>
      <c r="H76" s="27"/>
      <c r="I76" s="27"/>
      <c r="J76" s="27"/>
      <c r="K76" s="21"/>
      <c r="L76" s="27"/>
      <c r="M76" s="27"/>
      <c r="N76" s="27"/>
      <c r="O76" s="27"/>
      <c r="P76" s="21"/>
      <c r="Q76" s="28"/>
      <c r="R76" s="28"/>
      <c r="S76" s="28"/>
      <c r="T76" s="28"/>
      <c r="U76" s="19"/>
      <c r="V76" s="27"/>
      <c r="W76" s="27"/>
      <c r="X76" s="27"/>
      <c r="Y76" s="27"/>
      <c r="Z76" s="19"/>
      <c r="AA76" s="24"/>
      <c r="AB76" s="30"/>
      <c r="AC76" s="30"/>
      <c r="AD76" s="30"/>
      <c r="AE76" s="24"/>
      <c r="AF76" s="24"/>
    </row>
    <row r="77" ht="15.75" customHeight="1">
      <c r="B77" s="18"/>
      <c r="C77" s="18"/>
      <c r="D77" s="18"/>
      <c r="E77" s="18"/>
      <c r="F77" s="19"/>
      <c r="G77" s="27"/>
      <c r="H77" s="27"/>
      <c r="I77" s="27"/>
      <c r="J77" s="27"/>
      <c r="K77" s="21"/>
      <c r="L77" s="27"/>
      <c r="M77" s="27"/>
      <c r="N77" s="27"/>
      <c r="O77" s="27"/>
      <c r="P77" s="21"/>
      <c r="Q77" s="28"/>
      <c r="R77" s="28"/>
      <c r="S77" s="28"/>
      <c r="T77" s="28"/>
      <c r="U77" s="19"/>
      <c r="V77" s="27"/>
      <c r="W77" s="27"/>
      <c r="X77" s="27"/>
      <c r="Y77" s="27"/>
      <c r="Z77" s="19"/>
      <c r="AA77" s="24"/>
      <c r="AB77" s="30"/>
      <c r="AC77" s="30"/>
      <c r="AD77" s="30"/>
      <c r="AE77" s="24"/>
      <c r="AF77" s="24"/>
    </row>
    <row r="78" ht="15.75" customHeight="1">
      <c r="B78" s="18"/>
      <c r="C78" s="18"/>
      <c r="D78" s="18"/>
      <c r="E78" s="18"/>
      <c r="F78" s="19"/>
      <c r="G78" s="27"/>
      <c r="H78" s="27"/>
      <c r="I78" s="27"/>
      <c r="J78" s="27"/>
      <c r="K78" s="21"/>
      <c r="L78" s="27"/>
      <c r="M78" s="27"/>
      <c r="N78" s="27"/>
      <c r="O78" s="27"/>
      <c r="P78" s="21"/>
      <c r="Q78" s="28"/>
      <c r="R78" s="28"/>
      <c r="S78" s="28"/>
      <c r="T78" s="28"/>
      <c r="U78" s="19"/>
      <c r="V78" s="27"/>
      <c r="W78" s="27"/>
      <c r="X78" s="27"/>
      <c r="Y78" s="27"/>
      <c r="Z78" s="19"/>
      <c r="AA78" s="24"/>
      <c r="AB78" s="30"/>
      <c r="AC78" s="30"/>
      <c r="AD78" s="30"/>
      <c r="AE78" s="24"/>
      <c r="AF78" s="24"/>
    </row>
    <row r="79" ht="15.75" customHeight="1">
      <c r="B79" s="18"/>
      <c r="C79" s="18"/>
      <c r="D79" s="18"/>
      <c r="E79" s="18"/>
      <c r="F79" s="19"/>
      <c r="G79" s="27"/>
      <c r="H79" s="27"/>
      <c r="I79" s="27"/>
      <c r="J79" s="27"/>
      <c r="K79" s="21"/>
      <c r="L79" s="27"/>
      <c r="M79" s="27"/>
      <c r="N79" s="27"/>
      <c r="O79" s="27"/>
      <c r="P79" s="21"/>
      <c r="Q79" s="28"/>
      <c r="R79" s="28"/>
      <c r="S79" s="28"/>
      <c r="T79" s="28"/>
      <c r="U79" s="19"/>
      <c r="V79" s="27"/>
      <c r="W79" s="27"/>
      <c r="X79" s="27"/>
      <c r="Y79" s="27"/>
      <c r="Z79" s="19"/>
      <c r="AA79" s="24"/>
      <c r="AB79" s="30"/>
      <c r="AC79" s="30"/>
      <c r="AD79" s="30"/>
      <c r="AE79" s="24"/>
      <c r="AF79" s="24"/>
    </row>
    <row r="80" ht="15.75" customHeight="1">
      <c r="B80" s="18"/>
      <c r="C80" s="18"/>
      <c r="D80" s="18"/>
      <c r="E80" s="18"/>
      <c r="F80" s="19"/>
      <c r="G80" s="27"/>
      <c r="H80" s="27"/>
      <c r="I80" s="27"/>
      <c r="J80" s="27"/>
      <c r="K80" s="21"/>
      <c r="L80" s="27"/>
      <c r="M80" s="27"/>
      <c r="N80" s="27"/>
      <c r="O80" s="27"/>
      <c r="P80" s="21"/>
      <c r="Q80" s="28"/>
      <c r="R80" s="28"/>
      <c r="S80" s="28"/>
      <c r="T80" s="28"/>
      <c r="U80" s="19"/>
      <c r="V80" s="27"/>
      <c r="W80" s="27"/>
      <c r="X80" s="27"/>
      <c r="Y80" s="27"/>
      <c r="Z80" s="19"/>
      <c r="AA80" s="24"/>
      <c r="AB80" s="30"/>
      <c r="AC80" s="30"/>
      <c r="AD80" s="30"/>
      <c r="AE80" s="24"/>
      <c r="AF80" s="24"/>
    </row>
    <row r="81" ht="15.75" customHeight="1">
      <c r="B81" s="18"/>
      <c r="C81" s="18"/>
      <c r="D81" s="18"/>
      <c r="E81" s="18"/>
      <c r="F81" s="19"/>
      <c r="G81" s="27"/>
      <c r="H81" s="27"/>
      <c r="I81" s="27"/>
      <c r="J81" s="27"/>
      <c r="K81" s="21"/>
      <c r="L81" s="27"/>
      <c r="M81" s="27"/>
      <c r="N81" s="27"/>
      <c r="O81" s="27"/>
      <c r="P81" s="21"/>
      <c r="Q81" s="28"/>
      <c r="R81" s="28"/>
      <c r="S81" s="28"/>
      <c r="T81" s="28"/>
      <c r="U81" s="19"/>
      <c r="V81" s="27"/>
      <c r="W81" s="27"/>
      <c r="X81" s="27"/>
      <c r="Y81" s="27"/>
      <c r="Z81" s="19"/>
      <c r="AA81" s="24"/>
      <c r="AB81" s="30"/>
      <c r="AC81" s="30"/>
      <c r="AD81" s="30"/>
      <c r="AE81" s="24"/>
      <c r="AF81" s="24"/>
    </row>
    <row r="82" ht="15.75" customHeight="1">
      <c r="B82" s="18"/>
      <c r="C82" s="18"/>
      <c r="D82" s="18"/>
      <c r="E82" s="18"/>
      <c r="F82" s="19"/>
      <c r="G82" s="27"/>
      <c r="H82" s="27"/>
      <c r="I82" s="27"/>
      <c r="J82" s="27"/>
      <c r="K82" s="21"/>
      <c r="L82" s="27"/>
      <c r="M82" s="27"/>
      <c r="N82" s="27"/>
      <c r="O82" s="27"/>
      <c r="P82" s="21"/>
      <c r="Q82" s="28"/>
      <c r="R82" s="28"/>
      <c r="S82" s="28"/>
      <c r="T82" s="28"/>
      <c r="U82" s="19"/>
      <c r="V82" s="27"/>
      <c r="W82" s="27"/>
      <c r="X82" s="27"/>
      <c r="Y82" s="27"/>
      <c r="Z82" s="19"/>
      <c r="AA82" s="24"/>
      <c r="AB82" s="30"/>
      <c r="AC82" s="30"/>
      <c r="AD82" s="30"/>
      <c r="AE82" s="24"/>
      <c r="AF82" s="24"/>
    </row>
    <row r="83" ht="15.75" customHeight="1">
      <c r="B83" s="18"/>
      <c r="C83" s="18"/>
      <c r="D83" s="18"/>
      <c r="E83" s="18"/>
      <c r="F83" s="19"/>
      <c r="G83" s="27"/>
      <c r="H83" s="27"/>
      <c r="I83" s="27"/>
      <c r="J83" s="27"/>
      <c r="K83" s="21"/>
      <c r="L83" s="27"/>
      <c r="M83" s="27"/>
      <c r="N83" s="27"/>
      <c r="O83" s="27"/>
      <c r="P83" s="21"/>
      <c r="Q83" s="28"/>
      <c r="R83" s="28"/>
      <c r="S83" s="28"/>
      <c r="T83" s="28"/>
      <c r="U83" s="19"/>
      <c r="V83" s="27"/>
      <c r="W83" s="27"/>
      <c r="X83" s="27"/>
      <c r="Y83" s="27"/>
      <c r="Z83" s="19"/>
      <c r="AA83" s="24"/>
      <c r="AB83" s="30"/>
      <c r="AC83" s="30"/>
      <c r="AD83" s="30"/>
      <c r="AE83" s="24"/>
      <c r="AF83" s="24"/>
    </row>
    <row r="84" ht="15.75" customHeight="1">
      <c r="B84" s="18"/>
      <c r="C84" s="18"/>
      <c r="D84" s="18"/>
      <c r="E84" s="18"/>
      <c r="F84" s="19"/>
      <c r="G84" s="27"/>
      <c r="H84" s="27"/>
      <c r="I84" s="27"/>
      <c r="J84" s="27"/>
      <c r="K84" s="21"/>
      <c r="L84" s="27"/>
      <c r="M84" s="27"/>
      <c r="N84" s="27"/>
      <c r="O84" s="27"/>
      <c r="P84" s="21"/>
      <c r="Q84" s="28"/>
      <c r="R84" s="28"/>
      <c r="S84" s="28"/>
      <c r="T84" s="28"/>
      <c r="U84" s="19"/>
      <c r="V84" s="27"/>
      <c r="W84" s="27"/>
      <c r="X84" s="27"/>
      <c r="Y84" s="27"/>
      <c r="Z84" s="19"/>
      <c r="AA84" s="24"/>
      <c r="AB84" s="30"/>
      <c r="AC84" s="30"/>
      <c r="AD84" s="30"/>
      <c r="AE84" s="24"/>
      <c r="AF84" s="24"/>
    </row>
    <row r="85" ht="15.75" customHeight="1">
      <c r="B85" s="18"/>
      <c r="C85" s="18"/>
      <c r="D85" s="18"/>
      <c r="E85" s="18"/>
      <c r="F85" s="19"/>
      <c r="G85" s="27"/>
      <c r="H85" s="27"/>
      <c r="I85" s="27"/>
      <c r="J85" s="27"/>
      <c r="K85" s="21"/>
      <c r="L85" s="27"/>
      <c r="M85" s="27"/>
      <c r="N85" s="27"/>
      <c r="O85" s="27"/>
      <c r="P85" s="21"/>
      <c r="Q85" s="28"/>
      <c r="R85" s="28"/>
      <c r="S85" s="28"/>
      <c r="T85" s="28"/>
      <c r="U85" s="19"/>
      <c r="V85" s="27"/>
      <c r="W85" s="27"/>
      <c r="X85" s="27"/>
      <c r="Y85" s="27"/>
      <c r="Z85" s="19"/>
      <c r="AA85" s="24"/>
      <c r="AB85" s="30"/>
      <c r="AC85" s="30"/>
      <c r="AD85" s="30"/>
      <c r="AE85" s="24"/>
      <c r="AF85" s="24"/>
    </row>
    <row r="86" ht="15.75" customHeight="1">
      <c r="B86" s="18"/>
      <c r="C86" s="18"/>
      <c r="D86" s="18"/>
      <c r="E86" s="18"/>
      <c r="F86" s="19"/>
      <c r="G86" s="27"/>
      <c r="H86" s="27"/>
      <c r="I86" s="27"/>
      <c r="J86" s="27"/>
      <c r="K86" s="21"/>
      <c r="L86" s="27"/>
      <c r="M86" s="27"/>
      <c r="N86" s="27"/>
      <c r="O86" s="27"/>
      <c r="P86" s="21"/>
      <c r="Q86" s="28"/>
      <c r="R86" s="28"/>
      <c r="S86" s="28"/>
      <c r="T86" s="28"/>
      <c r="U86" s="19"/>
      <c r="V86" s="27"/>
      <c r="W86" s="27"/>
      <c r="X86" s="27"/>
      <c r="Y86" s="27"/>
      <c r="Z86" s="19"/>
      <c r="AA86" s="24"/>
      <c r="AB86" s="30"/>
      <c r="AC86" s="30"/>
      <c r="AD86" s="30"/>
      <c r="AE86" s="24"/>
      <c r="AF86" s="24"/>
    </row>
    <row r="87" ht="15.75" customHeight="1">
      <c r="B87" s="18"/>
      <c r="C87" s="18"/>
      <c r="D87" s="18"/>
      <c r="E87" s="18"/>
      <c r="F87" s="19"/>
      <c r="G87" s="27"/>
      <c r="H87" s="27"/>
      <c r="I87" s="27"/>
      <c r="J87" s="27"/>
      <c r="K87" s="21"/>
      <c r="L87" s="27"/>
      <c r="M87" s="27"/>
      <c r="N87" s="27"/>
      <c r="O87" s="27"/>
      <c r="P87" s="21"/>
      <c r="Q87" s="28"/>
      <c r="R87" s="28"/>
      <c r="S87" s="28"/>
      <c r="T87" s="28"/>
      <c r="U87" s="19"/>
      <c r="V87" s="27"/>
      <c r="W87" s="27"/>
      <c r="X87" s="27"/>
      <c r="Y87" s="27"/>
      <c r="Z87" s="19"/>
      <c r="AA87" s="24"/>
      <c r="AB87" s="30"/>
      <c r="AC87" s="30"/>
      <c r="AD87" s="30"/>
      <c r="AE87" s="24"/>
      <c r="AF87" s="24"/>
    </row>
    <row r="88" ht="15.75" customHeight="1">
      <c r="B88" s="18"/>
      <c r="C88" s="18"/>
      <c r="D88" s="18"/>
      <c r="E88" s="18"/>
      <c r="F88" s="19"/>
      <c r="G88" s="27"/>
      <c r="H88" s="27"/>
      <c r="I88" s="27"/>
      <c r="J88" s="27"/>
      <c r="K88" s="21"/>
      <c r="L88" s="27"/>
      <c r="M88" s="27"/>
      <c r="N88" s="27"/>
      <c r="O88" s="27"/>
      <c r="P88" s="21"/>
      <c r="Q88" s="28"/>
      <c r="R88" s="28"/>
      <c r="S88" s="28"/>
      <c r="T88" s="28"/>
      <c r="U88" s="19"/>
      <c r="V88" s="27"/>
      <c r="W88" s="27"/>
      <c r="X88" s="27"/>
      <c r="Y88" s="27"/>
      <c r="Z88" s="19"/>
      <c r="AA88" s="24"/>
      <c r="AB88" s="30"/>
      <c r="AC88" s="30"/>
      <c r="AD88" s="30"/>
      <c r="AE88" s="24"/>
      <c r="AF88" s="24"/>
    </row>
    <row r="89" ht="15.75" customHeight="1">
      <c r="B89" s="18"/>
      <c r="C89" s="18"/>
      <c r="D89" s="18"/>
      <c r="E89" s="18"/>
      <c r="F89" s="19"/>
      <c r="G89" s="27"/>
      <c r="H89" s="27"/>
      <c r="I89" s="27"/>
      <c r="J89" s="27"/>
      <c r="K89" s="21"/>
      <c r="L89" s="27"/>
      <c r="M89" s="27"/>
      <c r="N89" s="27"/>
      <c r="O89" s="27"/>
      <c r="P89" s="21"/>
      <c r="Q89" s="28"/>
      <c r="R89" s="28"/>
      <c r="S89" s="28"/>
      <c r="T89" s="28"/>
      <c r="U89" s="19"/>
      <c r="V89" s="27"/>
      <c r="W89" s="27"/>
      <c r="X89" s="27"/>
      <c r="Y89" s="27"/>
      <c r="Z89" s="19"/>
      <c r="AA89" s="24"/>
      <c r="AB89" s="30"/>
      <c r="AC89" s="30"/>
      <c r="AD89" s="30"/>
      <c r="AE89" s="24"/>
      <c r="AF89" s="24"/>
    </row>
    <row r="90" ht="15.75" customHeight="1">
      <c r="B90" s="18"/>
      <c r="C90" s="18"/>
      <c r="D90" s="18"/>
      <c r="E90" s="18"/>
      <c r="F90" s="19"/>
      <c r="G90" s="27"/>
      <c r="H90" s="27"/>
      <c r="I90" s="27"/>
      <c r="J90" s="27"/>
      <c r="K90" s="21"/>
      <c r="L90" s="27"/>
      <c r="M90" s="27"/>
      <c r="N90" s="27"/>
      <c r="O90" s="27"/>
      <c r="P90" s="21"/>
      <c r="Q90" s="28"/>
      <c r="R90" s="28"/>
      <c r="S90" s="28"/>
      <c r="T90" s="28"/>
      <c r="U90" s="19"/>
      <c r="V90" s="27"/>
      <c r="W90" s="27"/>
      <c r="X90" s="27"/>
      <c r="Y90" s="27"/>
      <c r="Z90" s="19"/>
      <c r="AA90" s="24"/>
      <c r="AB90" s="30"/>
      <c r="AC90" s="30"/>
      <c r="AD90" s="30"/>
      <c r="AE90" s="24"/>
      <c r="AF90" s="24"/>
    </row>
    <row r="91" ht="15.75" customHeight="1">
      <c r="B91" s="18"/>
      <c r="C91" s="18"/>
      <c r="D91" s="18"/>
      <c r="E91" s="18"/>
      <c r="F91" s="19"/>
      <c r="G91" s="27"/>
      <c r="H91" s="27"/>
      <c r="I91" s="27"/>
      <c r="J91" s="27"/>
      <c r="K91" s="21"/>
      <c r="L91" s="27"/>
      <c r="M91" s="27"/>
      <c r="N91" s="27"/>
      <c r="O91" s="27"/>
      <c r="P91" s="21"/>
      <c r="Q91" s="28"/>
      <c r="R91" s="28"/>
      <c r="S91" s="28"/>
      <c r="T91" s="28"/>
      <c r="U91" s="19"/>
      <c r="V91" s="27"/>
      <c r="W91" s="27"/>
      <c r="X91" s="27"/>
      <c r="Y91" s="27"/>
      <c r="Z91" s="19"/>
      <c r="AA91" s="24"/>
      <c r="AB91" s="30"/>
      <c r="AC91" s="30"/>
      <c r="AD91" s="30"/>
      <c r="AE91" s="24"/>
      <c r="AF91" s="24"/>
    </row>
    <row r="92" ht="15.75" customHeight="1">
      <c r="B92" s="18"/>
      <c r="C92" s="18"/>
      <c r="D92" s="18"/>
      <c r="E92" s="18"/>
      <c r="F92" s="19"/>
      <c r="G92" s="27"/>
      <c r="H92" s="27"/>
      <c r="I92" s="27"/>
      <c r="J92" s="27"/>
      <c r="K92" s="21"/>
      <c r="L92" s="27"/>
      <c r="M92" s="27"/>
      <c r="N92" s="27"/>
      <c r="O92" s="27"/>
      <c r="P92" s="21"/>
      <c r="Q92" s="28"/>
      <c r="R92" s="28"/>
      <c r="S92" s="28"/>
      <c r="T92" s="28"/>
      <c r="U92" s="19"/>
      <c r="V92" s="27"/>
      <c r="W92" s="27"/>
      <c r="X92" s="27"/>
      <c r="Y92" s="27"/>
      <c r="Z92" s="19"/>
      <c r="AA92" s="24"/>
      <c r="AB92" s="30"/>
      <c r="AC92" s="30"/>
      <c r="AD92" s="30"/>
      <c r="AE92" s="24"/>
      <c r="AF92" s="24"/>
    </row>
    <row r="93" ht="15.75" customHeight="1">
      <c r="B93" s="18"/>
      <c r="C93" s="18"/>
      <c r="D93" s="18"/>
      <c r="E93" s="18"/>
      <c r="F93" s="19"/>
      <c r="G93" s="27"/>
      <c r="H93" s="27"/>
      <c r="I93" s="27"/>
      <c r="J93" s="27"/>
      <c r="K93" s="21"/>
      <c r="L93" s="27"/>
      <c r="M93" s="27"/>
      <c r="N93" s="27"/>
      <c r="O93" s="27"/>
      <c r="P93" s="21"/>
      <c r="Q93" s="28"/>
      <c r="R93" s="28"/>
      <c r="S93" s="28"/>
      <c r="T93" s="28"/>
      <c r="U93" s="19"/>
      <c r="V93" s="27"/>
      <c r="W93" s="27"/>
      <c r="X93" s="27"/>
      <c r="Y93" s="27"/>
      <c r="Z93" s="19"/>
      <c r="AA93" s="24"/>
      <c r="AB93" s="30"/>
      <c r="AC93" s="30"/>
      <c r="AD93" s="30"/>
      <c r="AE93" s="24"/>
      <c r="AF93" s="24"/>
    </row>
    <row r="94" ht="15.75" customHeight="1">
      <c r="B94" s="18"/>
      <c r="C94" s="18"/>
      <c r="D94" s="18"/>
      <c r="E94" s="18"/>
      <c r="F94" s="19"/>
      <c r="G94" s="27"/>
      <c r="H94" s="27"/>
      <c r="I94" s="27"/>
      <c r="J94" s="27"/>
      <c r="K94" s="21"/>
      <c r="L94" s="27"/>
      <c r="M94" s="27"/>
      <c r="N94" s="27"/>
      <c r="O94" s="27"/>
      <c r="P94" s="21"/>
      <c r="Q94" s="28"/>
      <c r="R94" s="28"/>
      <c r="S94" s="28"/>
      <c r="T94" s="28"/>
      <c r="U94" s="19"/>
      <c r="V94" s="27"/>
      <c r="W94" s="27"/>
      <c r="X94" s="27"/>
      <c r="Y94" s="27"/>
      <c r="Z94" s="19"/>
      <c r="AA94" s="24"/>
      <c r="AB94" s="30"/>
      <c r="AC94" s="30"/>
      <c r="AD94" s="30"/>
      <c r="AE94" s="24"/>
      <c r="AF94" s="24"/>
    </row>
    <row r="95" ht="15.75" customHeight="1">
      <c r="B95" s="18"/>
      <c r="C95" s="18"/>
      <c r="D95" s="18"/>
      <c r="E95" s="18"/>
      <c r="F95" s="19"/>
      <c r="G95" s="27"/>
      <c r="H95" s="27"/>
      <c r="I95" s="27"/>
      <c r="J95" s="27"/>
      <c r="K95" s="21"/>
      <c r="L95" s="27"/>
      <c r="M95" s="27"/>
      <c r="N95" s="27"/>
      <c r="O95" s="27"/>
      <c r="P95" s="21"/>
      <c r="Q95" s="28"/>
      <c r="R95" s="28"/>
      <c r="S95" s="28"/>
      <c r="T95" s="28"/>
      <c r="U95" s="19"/>
      <c r="V95" s="27"/>
      <c r="W95" s="27"/>
      <c r="X95" s="27"/>
      <c r="Y95" s="27"/>
      <c r="Z95" s="19"/>
      <c r="AA95" s="24"/>
      <c r="AB95" s="30"/>
      <c r="AC95" s="30"/>
      <c r="AD95" s="30"/>
      <c r="AE95" s="24"/>
      <c r="AF95" s="24"/>
    </row>
    <row r="96" ht="15.75" customHeight="1">
      <c r="B96" s="18"/>
      <c r="C96" s="18"/>
      <c r="D96" s="18"/>
      <c r="E96" s="18"/>
      <c r="F96" s="19"/>
      <c r="G96" s="27"/>
      <c r="H96" s="27"/>
      <c r="I96" s="27"/>
      <c r="J96" s="27"/>
      <c r="K96" s="21"/>
      <c r="L96" s="27"/>
      <c r="M96" s="27"/>
      <c r="N96" s="27"/>
      <c r="O96" s="27"/>
      <c r="P96" s="21"/>
      <c r="Q96" s="28"/>
      <c r="R96" s="28"/>
      <c r="S96" s="28"/>
      <c r="T96" s="28"/>
      <c r="U96" s="19"/>
      <c r="V96" s="27"/>
      <c r="W96" s="27"/>
      <c r="X96" s="27"/>
      <c r="Y96" s="27"/>
      <c r="Z96" s="19"/>
      <c r="AA96" s="24"/>
      <c r="AB96" s="30"/>
      <c r="AC96" s="30"/>
      <c r="AD96" s="30"/>
      <c r="AE96" s="24"/>
      <c r="AF96" s="24"/>
    </row>
    <row r="97" ht="15.75" customHeight="1">
      <c r="B97" s="18"/>
      <c r="C97" s="18"/>
      <c r="D97" s="18"/>
      <c r="E97" s="18"/>
      <c r="F97" s="19"/>
      <c r="G97" s="27"/>
      <c r="H97" s="27"/>
      <c r="I97" s="27"/>
      <c r="J97" s="27"/>
      <c r="K97" s="21"/>
      <c r="L97" s="27"/>
      <c r="M97" s="27"/>
      <c r="N97" s="27"/>
      <c r="O97" s="27"/>
      <c r="P97" s="21"/>
      <c r="Q97" s="28"/>
      <c r="R97" s="28"/>
      <c r="S97" s="28"/>
      <c r="T97" s="28"/>
      <c r="U97" s="19"/>
      <c r="V97" s="27"/>
      <c r="W97" s="27"/>
      <c r="X97" s="27"/>
      <c r="Y97" s="27"/>
      <c r="Z97" s="19"/>
      <c r="AA97" s="24"/>
      <c r="AB97" s="30"/>
      <c r="AC97" s="30"/>
      <c r="AD97" s="30"/>
      <c r="AE97" s="24"/>
      <c r="AF97" s="24"/>
    </row>
    <row r="98" ht="15.75" customHeight="1">
      <c r="B98" s="18"/>
      <c r="C98" s="18"/>
      <c r="D98" s="18"/>
      <c r="E98" s="18"/>
      <c r="F98" s="19"/>
      <c r="G98" s="27"/>
      <c r="H98" s="27"/>
      <c r="I98" s="27"/>
      <c r="J98" s="27"/>
      <c r="K98" s="21"/>
      <c r="L98" s="27"/>
      <c r="M98" s="27"/>
      <c r="N98" s="27"/>
      <c r="O98" s="27"/>
      <c r="P98" s="21"/>
      <c r="Q98" s="28"/>
      <c r="R98" s="28"/>
      <c r="S98" s="28"/>
      <c r="T98" s="28"/>
      <c r="U98" s="19"/>
      <c r="V98" s="27"/>
      <c r="W98" s="27"/>
      <c r="X98" s="27"/>
      <c r="Y98" s="27"/>
      <c r="Z98" s="19"/>
      <c r="AA98" s="24"/>
      <c r="AB98" s="30"/>
      <c r="AC98" s="30"/>
      <c r="AD98" s="30"/>
      <c r="AE98" s="24"/>
      <c r="AF98" s="24"/>
    </row>
    <row r="99" ht="15.75" customHeight="1">
      <c r="B99" s="18"/>
      <c r="C99" s="18"/>
      <c r="D99" s="18"/>
      <c r="E99" s="18"/>
      <c r="F99" s="19"/>
      <c r="G99" s="27"/>
      <c r="H99" s="27"/>
      <c r="I99" s="27"/>
      <c r="J99" s="27"/>
      <c r="K99" s="21"/>
      <c r="L99" s="27"/>
      <c r="M99" s="27"/>
      <c r="N99" s="27"/>
      <c r="O99" s="27"/>
      <c r="P99" s="21"/>
      <c r="Q99" s="28"/>
      <c r="R99" s="28"/>
      <c r="S99" s="28"/>
      <c r="T99" s="28"/>
      <c r="U99" s="19"/>
      <c r="V99" s="27"/>
      <c r="W99" s="27"/>
      <c r="X99" s="27"/>
      <c r="Y99" s="27"/>
      <c r="Z99" s="19"/>
      <c r="AA99" s="24"/>
      <c r="AB99" s="30"/>
      <c r="AC99" s="30"/>
      <c r="AD99" s="30"/>
      <c r="AE99" s="24"/>
      <c r="AF99" s="24"/>
    </row>
    <row r="100" ht="15.75" customHeight="1">
      <c r="B100" s="18"/>
      <c r="C100" s="18"/>
      <c r="D100" s="18"/>
      <c r="E100" s="18"/>
      <c r="F100" s="19"/>
      <c r="G100" s="27"/>
      <c r="H100" s="27"/>
      <c r="I100" s="27"/>
      <c r="J100" s="27"/>
      <c r="K100" s="21"/>
      <c r="L100" s="27"/>
      <c r="M100" s="27"/>
      <c r="N100" s="27"/>
      <c r="O100" s="27"/>
      <c r="P100" s="21"/>
      <c r="Q100" s="28"/>
      <c r="R100" s="28"/>
      <c r="S100" s="28"/>
      <c r="T100" s="28"/>
      <c r="U100" s="19"/>
      <c r="V100" s="27"/>
      <c r="W100" s="27"/>
      <c r="X100" s="27"/>
      <c r="Y100" s="27"/>
      <c r="Z100" s="19"/>
      <c r="AA100" s="24"/>
      <c r="AB100" s="30"/>
      <c r="AC100" s="30"/>
      <c r="AD100" s="30"/>
      <c r="AE100" s="24"/>
      <c r="AF100" s="24"/>
    </row>
    <row r="101" ht="15.75" customHeight="1">
      <c r="B101" s="18"/>
      <c r="C101" s="18"/>
      <c r="D101" s="18"/>
      <c r="E101" s="18"/>
      <c r="F101" s="19"/>
      <c r="G101" s="27"/>
      <c r="H101" s="27"/>
      <c r="I101" s="27"/>
      <c r="J101" s="27"/>
      <c r="K101" s="21"/>
      <c r="L101" s="27"/>
      <c r="M101" s="27"/>
      <c r="N101" s="27"/>
      <c r="O101" s="27"/>
      <c r="P101" s="21"/>
      <c r="Q101" s="28"/>
      <c r="R101" s="28"/>
      <c r="S101" s="28"/>
      <c r="T101" s="28"/>
      <c r="U101" s="19"/>
      <c r="V101" s="27"/>
      <c r="W101" s="27"/>
      <c r="X101" s="27"/>
      <c r="Y101" s="27"/>
      <c r="Z101" s="19"/>
      <c r="AA101" s="24"/>
      <c r="AB101" s="30"/>
      <c r="AC101" s="30"/>
      <c r="AD101" s="30"/>
      <c r="AE101" s="24"/>
      <c r="AF101" s="24"/>
    </row>
    <row r="102" ht="15.75" customHeight="1">
      <c r="B102" s="18"/>
      <c r="C102" s="18"/>
      <c r="D102" s="18"/>
      <c r="E102" s="18"/>
      <c r="F102" s="19"/>
      <c r="G102" s="27"/>
      <c r="H102" s="27"/>
      <c r="I102" s="27"/>
      <c r="J102" s="27"/>
      <c r="K102" s="21"/>
      <c r="L102" s="27"/>
      <c r="M102" s="27"/>
      <c r="N102" s="27"/>
      <c r="O102" s="27"/>
      <c r="P102" s="21"/>
      <c r="Q102" s="28"/>
      <c r="R102" s="28"/>
      <c r="S102" s="28"/>
      <c r="T102" s="28"/>
      <c r="U102" s="19"/>
      <c r="V102" s="27"/>
      <c r="W102" s="27"/>
      <c r="X102" s="27"/>
      <c r="Y102" s="27"/>
      <c r="Z102" s="19"/>
      <c r="AA102" s="24"/>
      <c r="AB102" s="30"/>
      <c r="AC102" s="30"/>
      <c r="AD102" s="30"/>
      <c r="AE102" s="24"/>
      <c r="AF102" s="24"/>
    </row>
    <row r="103" ht="15.75" customHeight="1">
      <c r="B103" s="18"/>
      <c r="C103" s="18"/>
      <c r="D103" s="18"/>
      <c r="E103" s="18"/>
      <c r="F103" s="19"/>
      <c r="G103" s="27"/>
      <c r="H103" s="27"/>
      <c r="I103" s="27"/>
      <c r="J103" s="27"/>
      <c r="K103" s="21"/>
      <c r="L103" s="27"/>
      <c r="M103" s="27"/>
      <c r="N103" s="27"/>
      <c r="O103" s="27"/>
      <c r="P103" s="21"/>
      <c r="Q103" s="28"/>
      <c r="R103" s="28"/>
      <c r="S103" s="28"/>
      <c r="T103" s="28"/>
      <c r="U103" s="19"/>
      <c r="V103" s="27"/>
      <c r="W103" s="27"/>
      <c r="X103" s="27"/>
      <c r="Y103" s="27"/>
      <c r="Z103" s="19"/>
      <c r="AA103" s="24"/>
      <c r="AB103" s="30"/>
      <c r="AC103" s="30"/>
      <c r="AD103" s="30"/>
      <c r="AE103" s="24"/>
      <c r="AF103" s="24"/>
    </row>
    <row r="104" ht="15.75" customHeight="1">
      <c r="B104" s="18"/>
      <c r="C104" s="18"/>
      <c r="D104" s="18"/>
      <c r="E104" s="18"/>
      <c r="F104" s="19"/>
      <c r="G104" s="27"/>
      <c r="H104" s="27"/>
      <c r="I104" s="27"/>
      <c r="J104" s="27"/>
      <c r="K104" s="21"/>
      <c r="L104" s="27"/>
      <c r="M104" s="27"/>
      <c r="N104" s="27"/>
      <c r="O104" s="27"/>
      <c r="P104" s="21"/>
      <c r="Q104" s="28"/>
      <c r="R104" s="28"/>
      <c r="S104" s="28"/>
      <c r="T104" s="28"/>
      <c r="U104" s="19"/>
      <c r="V104" s="27"/>
      <c r="W104" s="27"/>
      <c r="X104" s="27"/>
      <c r="Y104" s="27"/>
      <c r="Z104" s="19"/>
      <c r="AA104" s="24"/>
      <c r="AB104" s="30"/>
      <c r="AC104" s="30"/>
      <c r="AD104" s="30"/>
      <c r="AE104" s="24"/>
      <c r="AF104" s="24"/>
    </row>
    <row r="105" ht="15.75" customHeight="1">
      <c r="B105" s="18"/>
      <c r="C105" s="18"/>
      <c r="D105" s="18"/>
      <c r="E105" s="18"/>
      <c r="F105" s="19"/>
      <c r="G105" s="27"/>
      <c r="H105" s="27"/>
      <c r="I105" s="27"/>
      <c r="J105" s="27"/>
      <c r="K105" s="21"/>
      <c r="L105" s="27"/>
      <c r="M105" s="27"/>
      <c r="N105" s="27"/>
      <c r="O105" s="27"/>
      <c r="P105" s="21"/>
      <c r="Q105" s="28"/>
      <c r="R105" s="28"/>
      <c r="S105" s="28"/>
      <c r="T105" s="28"/>
      <c r="U105" s="19"/>
      <c r="V105" s="27"/>
      <c r="W105" s="27"/>
      <c r="X105" s="27"/>
      <c r="Y105" s="27"/>
      <c r="Z105" s="19"/>
      <c r="AA105" s="24"/>
      <c r="AB105" s="30"/>
      <c r="AC105" s="30"/>
      <c r="AD105" s="30"/>
      <c r="AE105" s="24"/>
      <c r="AF105" s="24"/>
    </row>
    <row r="106" ht="15.75" customHeight="1">
      <c r="B106" s="18"/>
      <c r="C106" s="18"/>
      <c r="D106" s="18"/>
      <c r="E106" s="18"/>
      <c r="F106" s="19"/>
      <c r="G106" s="27"/>
      <c r="H106" s="27"/>
      <c r="I106" s="27"/>
      <c r="J106" s="27"/>
      <c r="K106" s="21"/>
      <c r="L106" s="27"/>
      <c r="M106" s="27"/>
      <c r="N106" s="27"/>
      <c r="O106" s="27"/>
      <c r="P106" s="21"/>
      <c r="Q106" s="28"/>
      <c r="R106" s="28"/>
      <c r="S106" s="28"/>
      <c r="T106" s="28"/>
      <c r="U106" s="19"/>
      <c r="V106" s="27"/>
      <c r="W106" s="27"/>
      <c r="X106" s="27"/>
      <c r="Y106" s="27"/>
      <c r="Z106" s="19"/>
      <c r="AA106" s="24"/>
      <c r="AB106" s="30"/>
      <c r="AC106" s="30"/>
      <c r="AD106" s="30"/>
      <c r="AE106" s="24"/>
      <c r="AF106" s="24"/>
    </row>
    <row r="107" ht="15.75" customHeight="1">
      <c r="B107" s="18"/>
      <c r="C107" s="18"/>
      <c r="D107" s="18"/>
      <c r="E107" s="18"/>
      <c r="F107" s="19"/>
      <c r="G107" s="27"/>
      <c r="H107" s="27"/>
      <c r="I107" s="27"/>
      <c r="J107" s="27"/>
      <c r="K107" s="21"/>
      <c r="L107" s="27"/>
      <c r="M107" s="27"/>
      <c r="N107" s="27"/>
      <c r="O107" s="27"/>
      <c r="P107" s="21"/>
      <c r="Q107" s="28"/>
      <c r="R107" s="28"/>
      <c r="S107" s="28"/>
      <c r="T107" s="28"/>
      <c r="U107" s="19"/>
      <c r="V107" s="27"/>
      <c r="W107" s="27"/>
      <c r="X107" s="27"/>
      <c r="Y107" s="27"/>
      <c r="Z107" s="19"/>
      <c r="AA107" s="24"/>
      <c r="AB107" s="30"/>
      <c r="AC107" s="30"/>
      <c r="AD107" s="30"/>
      <c r="AE107" s="24"/>
      <c r="AF107" s="24"/>
    </row>
    <row r="108" ht="15.75" customHeight="1">
      <c r="B108" s="18"/>
      <c r="C108" s="18"/>
      <c r="D108" s="18"/>
      <c r="E108" s="18"/>
      <c r="F108" s="19"/>
      <c r="G108" s="27"/>
      <c r="H108" s="27"/>
      <c r="I108" s="27"/>
      <c r="J108" s="27"/>
      <c r="K108" s="21"/>
      <c r="L108" s="27"/>
      <c r="M108" s="27"/>
      <c r="N108" s="27"/>
      <c r="O108" s="27"/>
      <c r="P108" s="21"/>
      <c r="Q108" s="28"/>
      <c r="R108" s="28"/>
      <c r="S108" s="28"/>
      <c r="T108" s="28"/>
      <c r="U108" s="19"/>
      <c r="V108" s="27"/>
      <c r="W108" s="27"/>
      <c r="X108" s="27"/>
      <c r="Y108" s="27"/>
      <c r="Z108" s="19"/>
      <c r="AA108" s="24"/>
      <c r="AB108" s="30"/>
      <c r="AC108" s="30"/>
      <c r="AD108" s="30"/>
      <c r="AE108" s="24"/>
      <c r="AF108" s="24"/>
    </row>
    <row r="109" ht="15.75" customHeight="1">
      <c r="B109" s="18"/>
      <c r="C109" s="18"/>
      <c r="D109" s="18"/>
      <c r="E109" s="18"/>
      <c r="F109" s="19"/>
      <c r="G109" s="27"/>
      <c r="H109" s="27"/>
      <c r="I109" s="27"/>
      <c r="J109" s="27"/>
      <c r="K109" s="21"/>
      <c r="L109" s="27"/>
      <c r="M109" s="27"/>
      <c r="N109" s="27"/>
      <c r="O109" s="27"/>
      <c r="P109" s="21"/>
      <c r="Q109" s="28"/>
      <c r="R109" s="28"/>
      <c r="S109" s="28"/>
      <c r="T109" s="28"/>
      <c r="U109" s="19"/>
      <c r="V109" s="27"/>
      <c r="W109" s="27"/>
      <c r="X109" s="27"/>
      <c r="Y109" s="27"/>
      <c r="Z109" s="19"/>
      <c r="AA109" s="24"/>
      <c r="AB109" s="30"/>
      <c r="AC109" s="30"/>
      <c r="AD109" s="30"/>
      <c r="AE109" s="24"/>
      <c r="AF109" s="24"/>
    </row>
    <row r="110" ht="15.75" customHeight="1">
      <c r="B110" s="18"/>
      <c r="C110" s="18"/>
      <c r="D110" s="18"/>
      <c r="E110" s="18"/>
      <c r="F110" s="19"/>
      <c r="G110" s="27"/>
      <c r="H110" s="27"/>
      <c r="I110" s="27"/>
      <c r="J110" s="27"/>
      <c r="K110" s="21"/>
      <c r="L110" s="27"/>
      <c r="M110" s="27"/>
      <c r="N110" s="27"/>
      <c r="O110" s="27"/>
      <c r="P110" s="21"/>
      <c r="Q110" s="28"/>
      <c r="R110" s="28"/>
      <c r="S110" s="28"/>
      <c r="T110" s="28"/>
      <c r="U110" s="19"/>
      <c r="V110" s="27"/>
      <c r="W110" s="27"/>
      <c r="X110" s="27"/>
      <c r="Y110" s="27"/>
      <c r="Z110" s="19"/>
      <c r="AA110" s="24"/>
      <c r="AB110" s="30"/>
      <c r="AC110" s="30"/>
      <c r="AD110" s="30"/>
      <c r="AE110" s="24"/>
      <c r="AF110" s="24"/>
    </row>
    <row r="111" ht="15.75" customHeight="1">
      <c r="B111" s="18"/>
      <c r="C111" s="18"/>
      <c r="D111" s="18"/>
      <c r="E111" s="18"/>
      <c r="F111" s="19"/>
      <c r="G111" s="27"/>
      <c r="H111" s="27"/>
      <c r="I111" s="27"/>
      <c r="J111" s="27"/>
      <c r="K111" s="21"/>
      <c r="L111" s="27"/>
      <c r="M111" s="27"/>
      <c r="N111" s="27"/>
      <c r="O111" s="27"/>
      <c r="P111" s="21"/>
      <c r="Q111" s="28"/>
      <c r="R111" s="28"/>
      <c r="S111" s="28"/>
      <c r="T111" s="28"/>
      <c r="U111" s="19"/>
      <c r="V111" s="27"/>
      <c r="W111" s="27"/>
      <c r="X111" s="27"/>
      <c r="Y111" s="27"/>
      <c r="Z111" s="19"/>
      <c r="AA111" s="24"/>
      <c r="AB111" s="30"/>
      <c r="AC111" s="30"/>
      <c r="AD111" s="30"/>
      <c r="AE111" s="24"/>
      <c r="AF111" s="24"/>
    </row>
    <row r="112" ht="15.75" customHeight="1">
      <c r="B112" s="18"/>
      <c r="C112" s="18"/>
      <c r="D112" s="18"/>
      <c r="E112" s="18"/>
      <c r="F112" s="19"/>
      <c r="G112" s="27"/>
      <c r="H112" s="27"/>
      <c r="I112" s="27"/>
      <c r="J112" s="27"/>
      <c r="K112" s="21"/>
      <c r="L112" s="27"/>
      <c r="M112" s="27"/>
      <c r="N112" s="27"/>
      <c r="O112" s="27"/>
      <c r="P112" s="21"/>
      <c r="Q112" s="28"/>
      <c r="R112" s="28"/>
      <c r="S112" s="28"/>
      <c r="T112" s="28"/>
      <c r="U112" s="19"/>
      <c r="V112" s="27"/>
      <c r="W112" s="27"/>
      <c r="X112" s="27"/>
      <c r="Y112" s="27"/>
      <c r="Z112" s="19"/>
      <c r="AA112" s="24"/>
      <c r="AB112" s="30"/>
      <c r="AC112" s="30"/>
      <c r="AD112" s="30"/>
      <c r="AE112" s="24"/>
      <c r="AF112" s="24"/>
    </row>
    <row r="113" ht="15.75" customHeight="1">
      <c r="B113" s="18"/>
      <c r="C113" s="18"/>
      <c r="D113" s="18"/>
      <c r="E113" s="18"/>
      <c r="F113" s="19"/>
      <c r="G113" s="27"/>
      <c r="H113" s="27"/>
      <c r="I113" s="27"/>
      <c r="J113" s="27"/>
      <c r="K113" s="21"/>
      <c r="L113" s="27"/>
      <c r="M113" s="27"/>
      <c r="N113" s="27"/>
      <c r="O113" s="27"/>
      <c r="P113" s="21"/>
      <c r="Q113" s="28"/>
      <c r="R113" s="28"/>
      <c r="S113" s="28"/>
      <c r="T113" s="28"/>
      <c r="U113" s="19"/>
      <c r="V113" s="27"/>
      <c r="W113" s="27"/>
      <c r="X113" s="27"/>
      <c r="Y113" s="27"/>
      <c r="Z113" s="19"/>
      <c r="AA113" s="24"/>
      <c r="AB113" s="30"/>
      <c r="AC113" s="30"/>
      <c r="AD113" s="30"/>
      <c r="AE113" s="24"/>
      <c r="AF113" s="24"/>
    </row>
    <row r="114" ht="15.75" customHeight="1">
      <c r="B114" s="18"/>
      <c r="C114" s="18"/>
      <c r="D114" s="18"/>
      <c r="E114" s="18"/>
      <c r="F114" s="19"/>
      <c r="G114" s="27"/>
      <c r="H114" s="27"/>
      <c r="I114" s="27"/>
      <c r="J114" s="27"/>
      <c r="K114" s="21"/>
      <c r="L114" s="27"/>
      <c r="M114" s="27"/>
      <c r="N114" s="27"/>
      <c r="O114" s="27"/>
      <c r="P114" s="21"/>
      <c r="Q114" s="28"/>
      <c r="R114" s="28"/>
      <c r="S114" s="28"/>
      <c r="T114" s="28"/>
      <c r="U114" s="19"/>
      <c r="V114" s="27"/>
      <c r="W114" s="27"/>
      <c r="X114" s="27"/>
      <c r="Y114" s="27"/>
      <c r="Z114" s="19"/>
      <c r="AA114" s="24"/>
      <c r="AB114" s="30"/>
      <c r="AC114" s="30"/>
      <c r="AD114" s="30"/>
      <c r="AE114" s="24"/>
      <c r="AF114" s="24"/>
    </row>
    <row r="115" ht="15.75" customHeight="1">
      <c r="B115" s="18"/>
      <c r="C115" s="18"/>
      <c r="D115" s="18"/>
      <c r="E115" s="18"/>
      <c r="F115" s="19"/>
      <c r="G115" s="27"/>
      <c r="H115" s="27"/>
      <c r="I115" s="27"/>
      <c r="J115" s="27"/>
      <c r="K115" s="21"/>
      <c r="L115" s="27"/>
      <c r="M115" s="27"/>
      <c r="N115" s="27"/>
      <c r="O115" s="27"/>
      <c r="P115" s="21"/>
      <c r="Q115" s="28"/>
      <c r="R115" s="28"/>
      <c r="S115" s="28"/>
      <c r="T115" s="28"/>
      <c r="U115" s="19"/>
      <c r="V115" s="27"/>
      <c r="W115" s="27"/>
      <c r="X115" s="27"/>
      <c r="Y115" s="27"/>
      <c r="Z115" s="19"/>
      <c r="AA115" s="24"/>
      <c r="AB115" s="30"/>
      <c r="AC115" s="30"/>
      <c r="AD115" s="30"/>
      <c r="AE115" s="24"/>
      <c r="AF115" s="24"/>
    </row>
    <row r="116" ht="15.75" customHeight="1">
      <c r="B116" s="18"/>
      <c r="C116" s="18"/>
      <c r="D116" s="18"/>
      <c r="E116" s="18"/>
      <c r="F116" s="19"/>
      <c r="G116" s="27"/>
      <c r="H116" s="27"/>
      <c r="I116" s="27"/>
      <c r="J116" s="27"/>
      <c r="K116" s="21"/>
      <c r="L116" s="27"/>
      <c r="M116" s="27"/>
      <c r="N116" s="27"/>
      <c r="O116" s="27"/>
      <c r="P116" s="21"/>
      <c r="Q116" s="28"/>
      <c r="R116" s="28"/>
      <c r="S116" s="28"/>
      <c r="T116" s="28"/>
      <c r="U116" s="19"/>
      <c r="V116" s="27"/>
      <c r="W116" s="27"/>
      <c r="X116" s="27"/>
      <c r="Y116" s="27"/>
      <c r="Z116" s="19"/>
      <c r="AA116" s="24"/>
      <c r="AB116" s="30"/>
      <c r="AC116" s="30"/>
      <c r="AD116" s="30"/>
      <c r="AE116" s="24"/>
      <c r="AF116" s="24"/>
    </row>
    <row r="117" ht="15.75" customHeight="1">
      <c r="B117" s="18"/>
      <c r="C117" s="18"/>
      <c r="D117" s="18"/>
      <c r="E117" s="18"/>
      <c r="F117" s="19"/>
      <c r="G117" s="27"/>
      <c r="H117" s="27"/>
      <c r="I117" s="27"/>
      <c r="J117" s="27"/>
      <c r="K117" s="21"/>
      <c r="L117" s="27"/>
      <c r="M117" s="27"/>
      <c r="N117" s="27"/>
      <c r="O117" s="27"/>
      <c r="P117" s="21"/>
      <c r="Q117" s="28"/>
      <c r="R117" s="28"/>
      <c r="S117" s="28"/>
      <c r="T117" s="28"/>
      <c r="U117" s="19"/>
      <c r="V117" s="27"/>
      <c r="W117" s="27"/>
      <c r="X117" s="27"/>
      <c r="Y117" s="27"/>
      <c r="Z117" s="19"/>
      <c r="AA117" s="24"/>
      <c r="AB117" s="30"/>
      <c r="AC117" s="30"/>
      <c r="AD117" s="30"/>
      <c r="AE117" s="24"/>
      <c r="AF117" s="24"/>
    </row>
    <row r="118" ht="15.75" customHeight="1">
      <c r="B118" s="18"/>
      <c r="C118" s="18"/>
      <c r="D118" s="18"/>
      <c r="E118" s="18"/>
      <c r="F118" s="19"/>
      <c r="G118" s="27"/>
      <c r="H118" s="27"/>
      <c r="I118" s="27"/>
      <c r="J118" s="27"/>
      <c r="K118" s="21"/>
      <c r="L118" s="27"/>
      <c r="M118" s="27"/>
      <c r="N118" s="27"/>
      <c r="O118" s="27"/>
      <c r="P118" s="21"/>
      <c r="Q118" s="28"/>
      <c r="R118" s="28"/>
      <c r="S118" s="28"/>
      <c r="T118" s="28"/>
      <c r="U118" s="19"/>
      <c r="V118" s="27"/>
      <c r="W118" s="27"/>
      <c r="X118" s="27"/>
      <c r="Y118" s="27"/>
      <c r="Z118" s="19"/>
      <c r="AA118" s="24"/>
      <c r="AB118" s="30"/>
      <c r="AC118" s="30"/>
      <c r="AD118" s="30"/>
      <c r="AE118" s="24"/>
      <c r="AF118" s="24"/>
    </row>
    <row r="119" ht="15.75" customHeight="1">
      <c r="B119" s="18"/>
      <c r="C119" s="18"/>
      <c r="D119" s="18"/>
      <c r="E119" s="18"/>
      <c r="F119" s="19"/>
      <c r="G119" s="27"/>
      <c r="H119" s="27"/>
      <c r="I119" s="27"/>
      <c r="J119" s="27"/>
      <c r="K119" s="21"/>
      <c r="L119" s="27"/>
      <c r="M119" s="27"/>
      <c r="N119" s="27"/>
      <c r="O119" s="27"/>
      <c r="P119" s="21"/>
      <c r="Q119" s="28"/>
      <c r="R119" s="28"/>
      <c r="S119" s="28"/>
      <c r="T119" s="28"/>
      <c r="U119" s="19"/>
      <c r="V119" s="27"/>
      <c r="W119" s="27"/>
      <c r="X119" s="27"/>
      <c r="Y119" s="27"/>
      <c r="Z119" s="19"/>
      <c r="AA119" s="24"/>
      <c r="AB119" s="30"/>
      <c r="AC119" s="30"/>
      <c r="AD119" s="30"/>
      <c r="AE119" s="24"/>
      <c r="AF119" s="24"/>
    </row>
    <row r="120" ht="15.75" customHeight="1">
      <c r="B120" s="18"/>
      <c r="C120" s="18"/>
      <c r="D120" s="18"/>
      <c r="E120" s="18"/>
      <c r="F120" s="19"/>
      <c r="G120" s="27"/>
      <c r="H120" s="27"/>
      <c r="I120" s="27"/>
      <c r="J120" s="27"/>
      <c r="K120" s="21"/>
      <c r="L120" s="27"/>
      <c r="M120" s="27"/>
      <c r="N120" s="27"/>
      <c r="O120" s="27"/>
      <c r="P120" s="21"/>
      <c r="Q120" s="28"/>
      <c r="R120" s="28"/>
      <c r="S120" s="28"/>
      <c r="T120" s="28"/>
      <c r="U120" s="19"/>
      <c r="V120" s="27"/>
      <c r="W120" s="27"/>
      <c r="X120" s="27"/>
      <c r="Y120" s="27"/>
      <c r="Z120" s="19"/>
      <c r="AA120" s="24"/>
      <c r="AB120" s="30"/>
      <c r="AC120" s="30"/>
      <c r="AD120" s="30"/>
      <c r="AE120" s="24"/>
      <c r="AF120" s="24"/>
    </row>
    <row r="121" ht="15.75" customHeight="1">
      <c r="B121" s="18"/>
      <c r="C121" s="18"/>
      <c r="D121" s="18"/>
      <c r="E121" s="18"/>
      <c r="F121" s="19"/>
      <c r="G121" s="27"/>
      <c r="H121" s="27"/>
      <c r="I121" s="27"/>
      <c r="J121" s="27"/>
      <c r="K121" s="21"/>
      <c r="L121" s="27"/>
      <c r="M121" s="27"/>
      <c r="N121" s="27"/>
      <c r="O121" s="27"/>
      <c r="P121" s="21"/>
      <c r="Q121" s="28"/>
      <c r="R121" s="28"/>
      <c r="S121" s="28"/>
      <c r="T121" s="28"/>
      <c r="U121" s="19"/>
      <c r="V121" s="27"/>
      <c r="W121" s="27"/>
      <c r="X121" s="27"/>
      <c r="Y121" s="27"/>
      <c r="Z121" s="19"/>
      <c r="AA121" s="24"/>
      <c r="AB121" s="30"/>
      <c r="AC121" s="30"/>
      <c r="AD121" s="30"/>
      <c r="AE121" s="24"/>
      <c r="AF121" s="24"/>
    </row>
    <row r="122" ht="15.75" customHeight="1">
      <c r="B122" s="18"/>
      <c r="C122" s="18"/>
      <c r="D122" s="18"/>
      <c r="E122" s="18"/>
      <c r="F122" s="19"/>
      <c r="G122" s="27"/>
      <c r="H122" s="27"/>
      <c r="I122" s="27"/>
      <c r="J122" s="27"/>
      <c r="K122" s="21"/>
      <c r="L122" s="27"/>
      <c r="M122" s="27"/>
      <c r="N122" s="27"/>
      <c r="O122" s="27"/>
      <c r="P122" s="21"/>
      <c r="Q122" s="28"/>
      <c r="R122" s="28"/>
      <c r="S122" s="28"/>
      <c r="T122" s="28"/>
      <c r="U122" s="19"/>
      <c r="V122" s="27"/>
      <c r="W122" s="27"/>
      <c r="X122" s="27"/>
      <c r="Y122" s="27"/>
      <c r="Z122" s="19"/>
      <c r="AA122" s="24"/>
      <c r="AB122" s="30"/>
      <c r="AC122" s="30"/>
      <c r="AD122" s="30"/>
      <c r="AE122" s="24"/>
      <c r="AF122" s="24"/>
    </row>
    <row r="123" ht="15.75" customHeight="1">
      <c r="B123" s="18"/>
      <c r="C123" s="18"/>
      <c r="D123" s="18"/>
      <c r="E123" s="18"/>
      <c r="F123" s="19"/>
      <c r="G123" s="27"/>
      <c r="H123" s="27"/>
      <c r="I123" s="27"/>
      <c r="J123" s="27"/>
      <c r="K123" s="21"/>
      <c r="L123" s="27"/>
      <c r="M123" s="27"/>
      <c r="N123" s="27"/>
      <c r="O123" s="27"/>
      <c r="P123" s="21"/>
      <c r="Q123" s="28"/>
      <c r="R123" s="28"/>
      <c r="S123" s="28"/>
      <c r="T123" s="28"/>
      <c r="U123" s="19"/>
      <c r="V123" s="27"/>
      <c r="W123" s="27"/>
      <c r="X123" s="27"/>
      <c r="Y123" s="27"/>
      <c r="Z123" s="19"/>
      <c r="AA123" s="24"/>
      <c r="AB123" s="30"/>
      <c r="AC123" s="30"/>
      <c r="AD123" s="30"/>
      <c r="AE123" s="24"/>
      <c r="AF123" s="24"/>
    </row>
    <row r="124" ht="15.75" customHeight="1">
      <c r="B124" s="18"/>
      <c r="C124" s="18"/>
      <c r="D124" s="18"/>
      <c r="E124" s="18"/>
      <c r="F124" s="19"/>
      <c r="G124" s="27"/>
      <c r="H124" s="27"/>
      <c r="I124" s="27"/>
      <c r="J124" s="27"/>
      <c r="K124" s="21"/>
      <c r="L124" s="27"/>
      <c r="M124" s="27"/>
      <c r="N124" s="27"/>
      <c r="O124" s="27"/>
      <c r="P124" s="21"/>
      <c r="Q124" s="28"/>
      <c r="R124" s="28"/>
      <c r="S124" s="28"/>
      <c r="T124" s="28"/>
      <c r="U124" s="19"/>
      <c r="V124" s="27"/>
      <c r="W124" s="27"/>
      <c r="X124" s="27"/>
      <c r="Y124" s="27"/>
      <c r="Z124" s="19"/>
      <c r="AA124" s="24"/>
      <c r="AB124" s="30"/>
      <c r="AC124" s="30"/>
      <c r="AD124" s="30"/>
      <c r="AE124" s="24"/>
      <c r="AF124" s="24"/>
    </row>
    <row r="125" ht="15.75" customHeight="1">
      <c r="B125" s="18"/>
      <c r="C125" s="18"/>
      <c r="D125" s="18"/>
      <c r="E125" s="18"/>
      <c r="F125" s="19"/>
      <c r="G125" s="27"/>
      <c r="H125" s="27"/>
      <c r="I125" s="27"/>
      <c r="J125" s="27"/>
      <c r="K125" s="21"/>
      <c r="L125" s="27"/>
      <c r="M125" s="27"/>
      <c r="N125" s="27"/>
      <c r="O125" s="27"/>
      <c r="P125" s="21"/>
      <c r="Q125" s="28"/>
      <c r="R125" s="28"/>
      <c r="S125" s="28"/>
      <c r="T125" s="28"/>
      <c r="U125" s="19"/>
      <c r="V125" s="27"/>
      <c r="W125" s="27"/>
      <c r="X125" s="27"/>
      <c r="Y125" s="27"/>
      <c r="Z125" s="19"/>
      <c r="AA125" s="24"/>
      <c r="AB125" s="30"/>
      <c r="AC125" s="30"/>
      <c r="AD125" s="30"/>
      <c r="AE125" s="24"/>
      <c r="AF125" s="24"/>
    </row>
    <row r="126" ht="15.75" customHeight="1">
      <c r="B126" s="18"/>
      <c r="C126" s="18"/>
      <c r="D126" s="18"/>
      <c r="E126" s="18"/>
      <c r="F126" s="19"/>
      <c r="G126" s="27"/>
      <c r="H126" s="27"/>
      <c r="I126" s="27"/>
      <c r="J126" s="27"/>
      <c r="K126" s="21"/>
      <c r="L126" s="27"/>
      <c r="M126" s="27"/>
      <c r="N126" s="27"/>
      <c r="O126" s="27"/>
      <c r="P126" s="21"/>
      <c r="Q126" s="28"/>
      <c r="R126" s="28"/>
      <c r="S126" s="28"/>
      <c r="T126" s="28"/>
      <c r="U126" s="19"/>
      <c r="V126" s="27"/>
      <c r="W126" s="27"/>
      <c r="X126" s="27"/>
      <c r="Y126" s="27"/>
      <c r="Z126" s="19"/>
      <c r="AA126" s="24"/>
      <c r="AB126" s="30"/>
      <c r="AC126" s="30"/>
      <c r="AD126" s="30"/>
      <c r="AE126" s="24"/>
      <c r="AF126" s="24"/>
    </row>
    <row r="127" ht="15.75" customHeight="1">
      <c r="B127" s="18"/>
      <c r="C127" s="18"/>
      <c r="D127" s="18"/>
      <c r="E127" s="18"/>
      <c r="F127" s="19"/>
      <c r="G127" s="27"/>
      <c r="H127" s="27"/>
      <c r="I127" s="27"/>
      <c r="J127" s="27"/>
      <c r="K127" s="21"/>
      <c r="L127" s="27"/>
      <c r="M127" s="27"/>
      <c r="N127" s="27"/>
      <c r="O127" s="27"/>
      <c r="P127" s="21"/>
      <c r="Q127" s="28"/>
      <c r="R127" s="28"/>
      <c r="S127" s="28"/>
      <c r="T127" s="28"/>
      <c r="U127" s="19"/>
      <c r="V127" s="27"/>
      <c r="W127" s="27"/>
      <c r="X127" s="27"/>
      <c r="Y127" s="27"/>
      <c r="Z127" s="19"/>
      <c r="AA127" s="24"/>
      <c r="AB127" s="30"/>
      <c r="AC127" s="30"/>
      <c r="AD127" s="30"/>
      <c r="AE127" s="24"/>
      <c r="AF127" s="24"/>
    </row>
    <row r="128" ht="15.75" customHeight="1">
      <c r="B128" s="18"/>
      <c r="C128" s="18"/>
      <c r="D128" s="18"/>
      <c r="E128" s="18"/>
      <c r="F128" s="19"/>
      <c r="G128" s="27"/>
      <c r="H128" s="27"/>
      <c r="I128" s="27"/>
      <c r="J128" s="27"/>
      <c r="K128" s="21"/>
      <c r="L128" s="27"/>
      <c r="M128" s="27"/>
      <c r="N128" s="27"/>
      <c r="O128" s="27"/>
      <c r="P128" s="21"/>
      <c r="Q128" s="28"/>
      <c r="R128" s="28"/>
      <c r="S128" s="28"/>
      <c r="T128" s="28"/>
      <c r="U128" s="19"/>
      <c r="V128" s="27"/>
      <c r="W128" s="27"/>
      <c r="X128" s="27"/>
      <c r="Y128" s="27"/>
      <c r="Z128" s="19"/>
      <c r="AA128" s="24"/>
      <c r="AB128" s="30"/>
      <c r="AC128" s="30"/>
      <c r="AD128" s="30"/>
      <c r="AE128" s="24"/>
      <c r="AF128" s="24"/>
    </row>
    <row r="129" ht="15.75" customHeight="1">
      <c r="B129" s="18"/>
      <c r="C129" s="18"/>
      <c r="D129" s="18"/>
      <c r="E129" s="18"/>
      <c r="F129" s="19"/>
      <c r="G129" s="27"/>
      <c r="H129" s="27"/>
      <c r="I129" s="27"/>
      <c r="J129" s="27"/>
      <c r="K129" s="21"/>
      <c r="L129" s="27"/>
      <c r="M129" s="27"/>
      <c r="N129" s="27"/>
      <c r="O129" s="27"/>
      <c r="P129" s="21"/>
      <c r="Q129" s="28"/>
      <c r="R129" s="28"/>
      <c r="S129" s="28"/>
      <c r="T129" s="28"/>
      <c r="U129" s="19"/>
      <c r="V129" s="27"/>
      <c r="W129" s="27"/>
      <c r="X129" s="27"/>
      <c r="Y129" s="27"/>
      <c r="Z129" s="19"/>
      <c r="AA129" s="24"/>
      <c r="AB129" s="30"/>
      <c r="AC129" s="30"/>
      <c r="AD129" s="30"/>
      <c r="AE129" s="24"/>
      <c r="AF129" s="24"/>
    </row>
    <row r="130" ht="15.75" customHeight="1">
      <c r="B130" s="18"/>
      <c r="C130" s="18"/>
      <c r="D130" s="18"/>
      <c r="E130" s="18"/>
      <c r="F130" s="19"/>
      <c r="G130" s="27"/>
      <c r="H130" s="27"/>
      <c r="I130" s="27"/>
      <c r="J130" s="27"/>
      <c r="K130" s="21"/>
      <c r="L130" s="27"/>
      <c r="M130" s="27"/>
      <c r="N130" s="27"/>
      <c r="O130" s="27"/>
      <c r="P130" s="21"/>
      <c r="Q130" s="28"/>
      <c r="R130" s="28"/>
      <c r="S130" s="28"/>
      <c r="T130" s="28"/>
      <c r="U130" s="19"/>
      <c r="V130" s="27"/>
      <c r="W130" s="27"/>
      <c r="X130" s="27"/>
      <c r="Y130" s="27"/>
      <c r="Z130" s="19"/>
      <c r="AA130" s="24"/>
      <c r="AB130" s="30"/>
      <c r="AC130" s="30"/>
      <c r="AD130" s="30"/>
      <c r="AE130" s="24"/>
      <c r="AF130" s="24"/>
    </row>
    <row r="131" ht="15.75" customHeight="1">
      <c r="B131" s="18"/>
      <c r="C131" s="18"/>
      <c r="D131" s="18"/>
      <c r="E131" s="18"/>
      <c r="F131" s="19"/>
      <c r="G131" s="27"/>
      <c r="H131" s="27"/>
      <c r="I131" s="27"/>
      <c r="J131" s="27"/>
      <c r="K131" s="21"/>
      <c r="L131" s="27"/>
      <c r="M131" s="27"/>
      <c r="N131" s="27"/>
      <c r="O131" s="27"/>
      <c r="P131" s="21"/>
      <c r="Q131" s="28"/>
      <c r="R131" s="28"/>
      <c r="S131" s="28"/>
      <c r="T131" s="28"/>
      <c r="U131" s="19"/>
      <c r="V131" s="27"/>
      <c r="W131" s="27"/>
      <c r="X131" s="27"/>
      <c r="Y131" s="27"/>
      <c r="Z131" s="19"/>
      <c r="AA131" s="24"/>
      <c r="AB131" s="30"/>
      <c r="AC131" s="30"/>
      <c r="AD131" s="30"/>
      <c r="AE131" s="24"/>
      <c r="AF131" s="24"/>
    </row>
    <row r="132" ht="15.75" customHeight="1">
      <c r="B132" s="18"/>
      <c r="C132" s="18"/>
      <c r="D132" s="18"/>
      <c r="E132" s="18"/>
      <c r="F132" s="19"/>
      <c r="G132" s="27"/>
      <c r="H132" s="27"/>
      <c r="I132" s="27"/>
      <c r="J132" s="27"/>
      <c r="K132" s="21"/>
      <c r="L132" s="27"/>
      <c r="M132" s="27"/>
      <c r="N132" s="27"/>
      <c r="O132" s="27"/>
      <c r="P132" s="21"/>
      <c r="Q132" s="28"/>
      <c r="R132" s="28"/>
      <c r="S132" s="28"/>
      <c r="T132" s="28"/>
      <c r="U132" s="19"/>
      <c r="V132" s="27"/>
      <c r="W132" s="27"/>
      <c r="X132" s="27"/>
      <c r="Y132" s="27"/>
      <c r="Z132" s="19"/>
      <c r="AA132" s="24"/>
      <c r="AB132" s="30"/>
      <c r="AC132" s="30"/>
      <c r="AD132" s="30"/>
      <c r="AE132" s="24"/>
      <c r="AF132" s="24"/>
    </row>
    <row r="133" ht="15.75" customHeight="1">
      <c r="B133" s="18"/>
      <c r="C133" s="18"/>
      <c r="D133" s="18"/>
      <c r="E133" s="18"/>
      <c r="F133" s="19"/>
      <c r="G133" s="27"/>
      <c r="H133" s="27"/>
      <c r="I133" s="27"/>
      <c r="J133" s="27"/>
      <c r="K133" s="21"/>
      <c r="L133" s="27"/>
      <c r="M133" s="27"/>
      <c r="N133" s="27"/>
      <c r="O133" s="27"/>
      <c r="P133" s="21"/>
      <c r="Q133" s="28"/>
      <c r="R133" s="28"/>
      <c r="S133" s="28"/>
      <c r="T133" s="28"/>
      <c r="U133" s="19"/>
      <c r="V133" s="27"/>
      <c r="W133" s="27"/>
      <c r="X133" s="27"/>
      <c r="Y133" s="27"/>
      <c r="Z133" s="19"/>
      <c r="AA133" s="24"/>
      <c r="AB133" s="30"/>
      <c r="AC133" s="30"/>
      <c r="AD133" s="30"/>
      <c r="AE133" s="24"/>
      <c r="AF133" s="24"/>
    </row>
    <row r="134" ht="15.75" customHeight="1">
      <c r="B134" s="18"/>
      <c r="C134" s="18"/>
      <c r="D134" s="18"/>
      <c r="E134" s="18"/>
      <c r="F134" s="19"/>
      <c r="G134" s="27"/>
      <c r="H134" s="27"/>
      <c r="I134" s="27"/>
      <c r="J134" s="27"/>
      <c r="K134" s="21"/>
      <c r="L134" s="27"/>
      <c r="M134" s="27"/>
      <c r="N134" s="27"/>
      <c r="O134" s="27"/>
      <c r="P134" s="21"/>
      <c r="Q134" s="28"/>
      <c r="R134" s="28"/>
      <c r="S134" s="28"/>
      <c r="T134" s="28"/>
      <c r="U134" s="19"/>
      <c r="V134" s="27"/>
      <c r="W134" s="27"/>
      <c r="X134" s="27"/>
      <c r="Y134" s="27"/>
      <c r="Z134" s="19"/>
      <c r="AA134" s="24"/>
      <c r="AB134" s="30"/>
      <c r="AC134" s="30"/>
      <c r="AD134" s="30"/>
      <c r="AE134" s="24"/>
      <c r="AF134" s="24"/>
    </row>
    <row r="135" ht="15.75" customHeight="1">
      <c r="B135" s="18"/>
      <c r="C135" s="18"/>
      <c r="D135" s="18"/>
      <c r="E135" s="18"/>
      <c r="F135" s="19"/>
      <c r="G135" s="27"/>
      <c r="H135" s="27"/>
      <c r="I135" s="27"/>
      <c r="J135" s="27"/>
      <c r="K135" s="21"/>
      <c r="L135" s="27"/>
      <c r="M135" s="27"/>
      <c r="N135" s="27"/>
      <c r="O135" s="27"/>
      <c r="P135" s="21"/>
      <c r="Q135" s="28"/>
      <c r="R135" s="28"/>
      <c r="S135" s="28"/>
      <c r="T135" s="28"/>
      <c r="U135" s="19"/>
      <c r="V135" s="27"/>
      <c r="W135" s="27"/>
      <c r="X135" s="27"/>
      <c r="Y135" s="27"/>
      <c r="Z135" s="19"/>
      <c r="AA135" s="24"/>
      <c r="AB135" s="30"/>
      <c r="AC135" s="30"/>
      <c r="AD135" s="30"/>
      <c r="AE135" s="24"/>
      <c r="AF135" s="24"/>
    </row>
    <row r="136" ht="15.75" customHeight="1">
      <c r="B136" s="18"/>
      <c r="C136" s="18"/>
      <c r="D136" s="18"/>
      <c r="E136" s="18"/>
      <c r="F136" s="19"/>
      <c r="G136" s="27"/>
      <c r="H136" s="27"/>
      <c r="I136" s="27"/>
      <c r="J136" s="27"/>
      <c r="K136" s="21"/>
      <c r="L136" s="27"/>
      <c r="M136" s="27"/>
      <c r="N136" s="27"/>
      <c r="O136" s="27"/>
      <c r="P136" s="21"/>
      <c r="Q136" s="28"/>
      <c r="R136" s="28"/>
      <c r="S136" s="28"/>
      <c r="T136" s="28"/>
      <c r="U136" s="19"/>
      <c r="V136" s="27"/>
      <c r="W136" s="27"/>
      <c r="X136" s="27"/>
      <c r="Y136" s="27"/>
      <c r="Z136" s="19"/>
      <c r="AA136" s="24"/>
      <c r="AB136" s="30"/>
      <c r="AC136" s="30"/>
      <c r="AD136" s="30"/>
      <c r="AE136" s="24"/>
      <c r="AF136" s="24"/>
    </row>
    <row r="137" ht="15.75" customHeight="1">
      <c r="B137" s="18"/>
      <c r="C137" s="18"/>
      <c r="D137" s="18"/>
      <c r="E137" s="18"/>
      <c r="F137" s="19"/>
      <c r="G137" s="27"/>
      <c r="H137" s="27"/>
      <c r="I137" s="27"/>
      <c r="J137" s="27"/>
      <c r="K137" s="21"/>
      <c r="L137" s="27"/>
      <c r="M137" s="27"/>
      <c r="N137" s="27"/>
      <c r="O137" s="27"/>
      <c r="P137" s="21"/>
      <c r="Q137" s="28"/>
      <c r="R137" s="28"/>
      <c r="S137" s="28"/>
      <c r="T137" s="28"/>
      <c r="U137" s="19"/>
      <c r="V137" s="27"/>
      <c r="W137" s="27"/>
      <c r="X137" s="27"/>
      <c r="Y137" s="27"/>
      <c r="Z137" s="19"/>
      <c r="AA137" s="24"/>
      <c r="AB137" s="30"/>
      <c r="AC137" s="30"/>
      <c r="AD137" s="30"/>
      <c r="AE137" s="24"/>
      <c r="AF137" s="24"/>
    </row>
    <row r="138" ht="15.75" customHeight="1">
      <c r="B138" s="18"/>
      <c r="C138" s="18"/>
      <c r="D138" s="18"/>
      <c r="E138" s="18"/>
      <c r="F138" s="19"/>
      <c r="G138" s="27"/>
      <c r="H138" s="27"/>
      <c r="I138" s="27"/>
      <c r="J138" s="27"/>
      <c r="K138" s="21"/>
      <c r="L138" s="27"/>
      <c r="M138" s="27"/>
      <c r="N138" s="27"/>
      <c r="O138" s="27"/>
      <c r="P138" s="21"/>
      <c r="Q138" s="28"/>
      <c r="R138" s="28"/>
      <c r="S138" s="28"/>
      <c r="T138" s="28"/>
      <c r="U138" s="19"/>
      <c r="V138" s="27"/>
      <c r="W138" s="27"/>
      <c r="X138" s="27"/>
      <c r="Y138" s="27"/>
      <c r="Z138" s="19"/>
      <c r="AA138" s="24"/>
      <c r="AB138" s="30"/>
      <c r="AC138" s="30"/>
      <c r="AD138" s="30"/>
      <c r="AE138" s="24"/>
      <c r="AF138" s="24"/>
    </row>
    <row r="139" ht="15.75" customHeight="1">
      <c r="B139" s="18"/>
      <c r="C139" s="18"/>
      <c r="D139" s="18"/>
      <c r="E139" s="18"/>
      <c r="F139" s="19"/>
      <c r="G139" s="27"/>
      <c r="H139" s="27"/>
      <c r="I139" s="27"/>
      <c r="J139" s="27"/>
      <c r="K139" s="21"/>
      <c r="L139" s="27"/>
      <c r="M139" s="27"/>
      <c r="N139" s="27"/>
      <c r="O139" s="27"/>
      <c r="P139" s="21"/>
      <c r="Q139" s="28"/>
      <c r="R139" s="28"/>
      <c r="S139" s="28"/>
      <c r="T139" s="28"/>
      <c r="U139" s="19"/>
      <c r="V139" s="27"/>
      <c r="W139" s="27"/>
      <c r="X139" s="27"/>
      <c r="Y139" s="27"/>
      <c r="Z139" s="19"/>
      <c r="AA139" s="24"/>
      <c r="AB139" s="30"/>
      <c r="AC139" s="30"/>
      <c r="AD139" s="30"/>
      <c r="AE139" s="24"/>
      <c r="AF139" s="24"/>
    </row>
    <row r="140" ht="15.75" customHeight="1">
      <c r="B140" s="18"/>
      <c r="C140" s="18"/>
      <c r="D140" s="18"/>
      <c r="E140" s="18"/>
      <c r="F140" s="19"/>
      <c r="G140" s="27"/>
      <c r="H140" s="27"/>
      <c r="I140" s="27"/>
      <c r="J140" s="27"/>
      <c r="K140" s="21"/>
      <c r="L140" s="27"/>
      <c r="M140" s="27"/>
      <c r="N140" s="27"/>
      <c r="O140" s="27"/>
      <c r="P140" s="21"/>
      <c r="Q140" s="28"/>
      <c r="R140" s="28"/>
      <c r="S140" s="28"/>
      <c r="T140" s="28"/>
      <c r="U140" s="19"/>
      <c r="V140" s="27"/>
      <c r="W140" s="27"/>
      <c r="X140" s="27"/>
      <c r="Y140" s="27"/>
      <c r="Z140" s="19"/>
      <c r="AA140" s="24"/>
      <c r="AB140" s="30"/>
      <c r="AC140" s="30"/>
      <c r="AD140" s="30"/>
      <c r="AE140" s="24"/>
      <c r="AF140" s="24"/>
    </row>
    <row r="141" ht="15.75" customHeight="1">
      <c r="B141" s="18"/>
      <c r="C141" s="18"/>
      <c r="D141" s="18"/>
      <c r="E141" s="18"/>
      <c r="F141" s="19"/>
      <c r="G141" s="27"/>
      <c r="H141" s="27"/>
      <c r="I141" s="27"/>
      <c r="J141" s="27"/>
      <c r="K141" s="21"/>
      <c r="L141" s="27"/>
      <c r="M141" s="27"/>
      <c r="N141" s="27"/>
      <c r="O141" s="27"/>
      <c r="P141" s="21"/>
      <c r="Q141" s="28"/>
      <c r="R141" s="28"/>
      <c r="S141" s="28"/>
      <c r="T141" s="28"/>
      <c r="U141" s="19"/>
      <c r="V141" s="27"/>
      <c r="W141" s="27"/>
      <c r="X141" s="27"/>
      <c r="Y141" s="27"/>
      <c r="Z141" s="19"/>
      <c r="AA141" s="24"/>
      <c r="AB141" s="30"/>
      <c r="AC141" s="30"/>
      <c r="AD141" s="30"/>
      <c r="AE141" s="24"/>
      <c r="AF141" s="24"/>
    </row>
    <row r="142" ht="15.75" customHeight="1">
      <c r="B142" s="18"/>
      <c r="C142" s="18"/>
      <c r="D142" s="18"/>
      <c r="E142" s="18"/>
      <c r="F142" s="19"/>
      <c r="G142" s="27"/>
      <c r="H142" s="27"/>
      <c r="I142" s="27"/>
      <c r="J142" s="27"/>
      <c r="K142" s="21"/>
      <c r="L142" s="27"/>
      <c r="M142" s="27"/>
      <c r="N142" s="27"/>
      <c r="O142" s="27"/>
      <c r="P142" s="21"/>
      <c r="Q142" s="28"/>
      <c r="R142" s="28"/>
      <c r="S142" s="28"/>
      <c r="T142" s="28"/>
      <c r="U142" s="19"/>
      <c r="V142" s="27"/>
      <c r="W142" s="27"/>
      <c r="X142" s="27"/>
      <c r="Y142" s="27"/>
      <c r="Z142" s="19"/>
      <c r="AA142" s="24"/>
      <c r="AB142" s="30"/>
      <c r="AC142" s="30"/>
      <c r="AD142" s="30"/>
      <c r="AE142" s="24"/>
      <c r="AF142" s="24"/>
    </row>
    <row r="143" ht="15.75" customHeight="1">
      <c r="B143" s="18"/>
      <c r="C143" s="18"/>
      <c r="D143" s="18"/>
      <c r="E143" s="18"/>
      <c r="F143" s="19"/>
      <c r="G143" s="27"/>
      <c r="H143" s="27"/>
      <c r="I143" s="27"/>
      <c r="J143" s="27"/>
      <c r="K143" s="21"/>
      <c r="L143" s="27"/>
      <c r="M143" s="27"/>
      <c r="N143" s="27"/>
      <c r="O143" s="27"/>
      <c r="P143" s="21"/>
      <c r="Q143" s="28"/>
      <c r="R143" s="28"/>
      <c r="S143" s="28"/>
      <c r="T143" s="28"/>
      <c r="U143" s="19"/>
      <c r="V143" s="27"/>
      <c r="W143" s="27"/>
      <c r="X143" s="27"/>
      <c r="Y143" s="27"/>
      <c r="Z143" s="19"/>
      <c r="AA143" s="24"/>
      <c r="AB143" s="30"/>
      <c r="AC143" s="30"/>
      <c r="AD143" s="30"/>
      <c r="AE143" s="24"/>
      <c r="AF143" s="24"/>
    </row>
    <row r="144" ht="15.75" customHeight="1">
      <c r="B144" s="18"/>
      <c r="C144" s="18"/>
      <c r="D144" s="18"/>
      <c r="E144" s="18"/>
      <c r="F144" s="19"/>
      <c r="G144" s="27"/>
      <c r="H144" s="27"/>
      <c r="I144" s="27"/>
      <c r="J144" s="27"/>
      <c r="K144" s="21"/>
      <c r="L144" s="27"/>
      <c r="M144" s="27"/>
      <c r="N144" s="27"/>
      <c r="O144" s="27"/>
      <c r="P144" s="21"/>
      <c r="Q144" s="28"/>
      <c r="R144" s="28"/>
      <c r="S144" s="28"/>
      <c r="T144" s="28"/>
      <c r="U144" s="19"/>
      <c r="V144" s="27"/>
      <c r="W144" s="27"/>
      <c r="X144" s="27"/>
      <c r="Y144" s="27"/>
      <c r="Z144" s="19"/>
      <c r="AA144" s="24"/>
      <c r="AB144" s="30"/>
      <c r="AC144" s="30"/>
      <c r="AD144" s="30"/>
      <c r="AE144" s="24"/>
      <c r="AF144" s="24"/>
    </row>
    <row r="145" ht="15.75" customHeight="1">
      <c r="B145" s="18"/>
      <c r="C145" s="18"/>
      <c r="D145" s="18"/>
      <c r="E145" s="18"/>
      <c r="F145" s="19"/>
      <c r="G145" s="27"/>
      <c r="H145" s="27"/>
      <c r="I145" s="27"/>
      <c r="J145" s="27"/>
      <c r="K145" s="21"/>
      <c r="L145" s="27"/>
      <c r="M145" s="27"/>
      <c r="N145" s="27"/>
      <c r="O145" s="27"/>
      <c r="P145" s="21"/>
      <c r="Q145" s="28"/>
      <c r="R145" s="28"/>
      <c r="S145" s="28"/>
      <c r="T145" s="28"/>
      <c r="U145" s="19"/>
      <c r="V145" s="27"/>
      <c r="W145" s="27"/>
      <c r="X145" s="27"/>
      <c r="Y145" s="27"/>
      <c r="Z145" s="19"/>
      <c r="AA145" s="24"/>
      <c r="AB145" s="30"/>
      <c r="AC145" s="30"/>
      <c r="AD145" s="30"/>
      <c r="AE145" s="24"/>
      <c r="AF145" s="24"/>
    </row>
    <row r="146" ht="15.75" customHeight="1">
      <c r="B146" s="18"/>
      <c r="C146" s="18"/>
      <c r="D146" s="18"/>
      <c r="E146" s="18"/>
      <c r="F146" s="19"/>
      <c r="G146" s="27"/>
      <c r="H146" s="27"/>
      <c r="I146" s="27"/>
      <c r="J146" s="27"/>
      <c r="K146" s="21"/>
      <c r="L146" s="27"/>
      <c r="M146" s="27"/>
      <c r="N146" s="27"/>
      <c r="O146" s="27"/>
      <c r="P146" s="21"/>
      <c r="Q146" s="28"/>
      <c r="R146" s="28"/>
      <c r="S146" s="28"/>
      <c r="T146" s="28"/>
      <c r="U146" s="19"/>
      <c r="V146" s="27"/>
      <c r="W146" s="27"/>
      <c r="X146" s="27"/>
      <c r="Y146" s="27"/>
      <c r="Z146" s="19"/>
      <c r="AA146" s="24"/>
      <c r="AB146" s="30"/>
      <c r="AC146" s="30"/>
      <c r="AD146" s="30"/>
      <c r="AE146" s="24"/>
      <c r="AF146" s="24"/>
    </row>
    <row r="147" ht="15.75" customHeight="1">
      <c r="B147" s="18"/>
      <c r="C147" s="18"/>
      <c r="D147" s="18"/>
      <c r="E147" s="18"/>
      <c r="F147" s="19"/>
      <c r="G147" s="27"/>
      <c r="H147" s="27"/>
      <c r="I147" s="27"/>
      <c r="J147" s="27"/>
      <c r="K147" s="21"/>
      <c r="L147" s="27"/>
      <c r="M147" s="27"/>
      <c r="N147" s="27"/>
      <c r="O147" s="27"/>
      <c r="P147" s="21"/>
      <c r="Q147" s="28"/>
      <c r="R147" s="28"/>
      <c r="S147" s="28"/>
      <c r="T147" s="28"/>
      <c r="U147" s="19"/>
      <c r="V147" s="27"/>
      <c r="W147" s="27"/>
      <c r="X147" s="27"/>
      <c r="Y147" s="27"/>
      <c r="Z147" s="19"/>
      <c r="AA147" s="24"/>
      <c r="AB147" s="30"/>
      <c r="AC147" s="30"/>
      <c r="AD147" s="30"/>
      <c r="AE147" s="24"/>
      <c r="AF147" s="24"/>
    </row>
    <row r="148" ht="15.75" customHeight="1">
      <c r="B148" s="18"/>
      <c r="C148" s="18"/>
      <c r="D148" s="18"/>
      <c r="E148" s="18"/>
      <c r="F148" s="19"/>
      <c r="G148" s="27"/>
      <c r="H148" s="27"/>
      <c r="I148" s="27"/>
      <c r="J148" s="27"/>
      <c r="K148" s="21"/>
      <c r="L148" s="27"/>
      <c r="M148" s="27"/>
      <c r="N148" s="27"/>
      <c r="O148" s="27"/>
      <c r="P148" s="21"/>
      <c r="Q148" s="28"/>
      <c r="R148" s="28"/>
      <c r="S148" s="28"/>
      <c r="T148" s="28"/>
      <c r="U148" s="19"/>
      <c r="V148" s="27"/>
      <c r="W148" s="27"/>
      <c r="X148" s="27"/>
      <c r="Y148" s="27"/>
      <c r="Z148" s="19"/>
      <c r="AA148" s="24"/>
      <c r="AB148" s="30"/>
      <c r="AC148" s="30"/>
      <c r="AD148" s="30"/>
      <c r="AE148" s="24"/>
      <c r="AF148" s="24"/>
    </row>
    <row r="149" ht="15.75" customHeight="1">
      <c r="B149" s="18"/>
      <c r="C149" s="18"/>
      <c r="D149" s="18"/>
      <c r="E149" s="18"/>
      <c r="F149" s="19"/>
      <c r="G149" s="27"/>
      <c r="H149" s="27"/>
      <c r="I149" s="27"/>
      <c r="J149" s="27"/>
      <c r="K149" s="21"/>
      <c r="L149" s="27"/>
      <c r="M149" s="27"/>
      <c r="N149" s="27"/>
      <c r="O149" s="27"/>
      <c r="P149" s="21"/>
      <c r="Q149" s="28"/>
      <c r="R149" s="28"/>
      <c r="S149" s="28"/>
      <c r="T149" s="28"/>
      <c r="U149" s="19"/>
      <c r="V149" s="27"/>
      <c r="W149" s="27"/>
      <c r="X149" s="27"/>
      <c r="Y149" s="27"/>
      <c r="Z149" s="19"/>
      <c r="AA149" s="24"/>
      <c r="AB149" s="30"/>
      <c r="AC149" s="30"/>
      <c r="AD149" s="30"/>
      <c r="AE149" s="24"/>
      <c r="AF149" s="24"/>
    </row>
    <row r="150" ht="15.75" customHeight="1">
      <c r="B150" s="18"/>
      <c r="C150" s="18"/>
      <c r="D150" s="18"/>
      <c r="E150" s="18"/>
      <c r="F150" s="19"/>
      <c r="G150" s="27"/>
      <c r="H150" s="27"/>
      <c r="I150" s="27"/>
      <c r="J150" s="27"/>
      <c r="K150" s="21"/>
      <c r="L150" s="27"/>
      <c r="M150" s="27"/>
      <c r="N150" s="27"/>
      <c r="O150" s="27"/>
      <c r="P150" s="21"/>
      <c r="Q150" s="28"/>
      <c r="R150" s="28"/>
      <c r="S150" s="28"/>
      <c r="T150" s="28"/>
      <c r="U150" s="19"/>
      <c r="V150" s="27"/>
      <c r="W150" s="27"/>
      <c r="X150" s="27"/>
      <c r="Y150" s="27"/>
      <c r="Z150" s="19"/>
      <c r="AA150" s="24"/>
      <c r="AB150" s="30"/>
      <c r="AC150" s="30"/>
      <c r="AD150" s="30"/>
      <c r="AE150" s="24"/>
      <c r="AF150" s="24"/>
    </row>
    <row r="151" ht="15.75" customHeight="1">
      <c r="B151" s="18"/>
      <c r="C151" s="18"/>
      <c r="D151" s="18"/>
      <c r="E151" s="18"/>
      <c r="F151" s="19"/>
      <c r="G151" s="27"/>
      <c r="H151" s="27"/>
      <c r="I151" s="27"/>
      <c r="J151" s="27"/>
      <c r="K151" s="21"/>
      <c r="L151" s="27"/>
      <c r="M151" s="27"/>
      <c r="N151" s="27"/>
      <c r="O151" s="27"/>
      <c r="P151" s="21"/>
      <c r="Q151" s="28"/>
      <c r="R151" s="28"/>
      <c r="S151" s="28"/>
      <c r="T151" s="28"/>
      <c r="U151" s="19"/>
      <c r="V151" s="27"/>
      <c r="W151" s="27"/>
      <c r="X151" s="27"/>
      <c r="Y151" s="27"/>
      <c r="Z151" s="19"/>
      <c r="AA151" s="24"/>
      <c r="AB151" s="30"/>
      <c r="AC151" s="30"/>
      <c r="AD151" s="30"/>
      <c r="AE151" s="24"/>
      <c r="AF151" s="24"/>
    </row>
    <row r="152" ht="15.75" customHeight="1">
      <c r="B152" s="18"/>
      <c r="C152" s="18"/>
      <c r="D152" s="18"/>
      <c r="E152" s="18"/>
      <c r="F152" s="19"/>
      <c r="G152" s="27"/>
      <c r="H152" s="27"/>
      <c r="I152" s="27"/>
      <c r="J152" s="27"/>
      <c r="K152" s="21"/>
      <c r="L152" s="27"/>
      <c r="M152" s="27"/>
      <c r="N152" s="27"/>
      <c r="O152" s="27"/>
      <c r="P152" s="21"/>
      <c r="Q152" s="28"/>
      <c r="R152" s="28"/>
      <c r="S152" s="28"/>
      <c r="T152" s="28"/>
      <c r="U152" s="19"/>
      <c r="V152" s="27"/>
      <c r="W152" s="27"/>
      <c r="X152" s="27"/>
      <c r="Y152" s="27"/>
      <c r="Z152" s="19"/>
      <c r="AA152" s="24"/>
      <c r="AB152" s="30"/>
      <c r="AC152" s="30"/>
      <c r="AD152" s="30"/>
      <c r="AE152" s="24"/>
      <c r="AF152" s="24"/>
    </row>
    <row r="153" ht="15.75" customHeight="1">
      <c r="B153" s="18"/>
      <c r="C153" s="18"/>
      <c r="D153" s="18"/>
      <c r="E153" s="18"/>
      <c r="F153" s="19"/>
      <c r="G153" s="27"/>
      <c r="H153" s="27"/>
      <c r="I153" s="27"/>
      <c r="J153" s="27"/>
      <c r="K153" s="21"/>
      <c r="L153" s="27"/>
      <c r="M153" s="27"/>
      <c r="N153" s="27"/>
      <c r="O153" s="27"/>
      <c r="P153" s="21"/>
      <c r="Q153" s="28"/>
      <c r="R153" s="28"/>
      <c r="S153" s="28"/>
      <c r="T153" s="28"/>
      <c r="U153" s="19"/>
      <c r="V153" s="27"/>
      <c r="W153" s="27"/>
      <c r="X153" s="27"/>
      <c r="Y153" s="27"/>
      <c r="Z153" s="19"/>
      <c r="AA153" s="24"/>
      <c r="AB153" s="30"/>
      <c r="AC153" s="30"/>
      <c r="AD153" s="30"/>
      <c r="AE153" s="24"/>
      <c r="AF153" s="24"/>
    </row>
    <row r="154" ht="15.75" customHeight="1">
      <c r="B154" s="18"/>
      <c r="C154" s="18"/>
      <c r="D154" s="18"/>
      <c r="E154" s="18"/>
      <c r="F154" s="19"/>
      <c r="G154" s="27"/>
      <c r="H154" s="27"/>
      <c r="I154" s="27"/>
      <c r="J154" s="27"/>
      <c r="K154" s="21"/>
      <c r="L154" s="27"/>
      <c r="M154" s="27"/>
      <c r="N154" s="27"/>
      <c r="O154" s="27"/>
      <c r="P154" s="21"/>
      <c r="Q154" s="28"/>
      <c r="R154" s="28"/>
      <c r="S154" s="28"/>
      <c r="T154" s="28"/>
      <c r="U154" s="19"/>
      <c r="V154" s="27"/>
      <c r="W154" s="27"/>
      <c r="X154" s="27"/>
      <c r="Y154" s="27"/>
      <c r="Z154" s="19"/>
      <c r="AA154" s="24"/>
      <c r="AB154" s="30"/>
      <c r="AC154" s="30"/>
      <c r="AD154" s="30"/>
      <c r="AE154" s="24"/>
      <c r="AF154" s="24"/>
    </row>
    <row r="155" ht="15.75" customHeight="1">
      <c r="B155" s="18"/>
      <c r="C155" s="18"/>
      <c r="D155" s="18"/>
      <c r="E155" s="18"/>
      <c r="F155" s="19"/>
      <c r="G155" s="27"/>
      <c r="H155" s="27"/>
      <c r="I155" s="27"/>
      <c r="J155" s="27"/>
      <c r="K155" s="21"/>
      <c r="L155" s="27"/>
      <c r="M155" s="27"/>
      <c r="N155" s="27"/>
      <c r="O155" s="27"/>
      <c r="P155" s="21"/>
      <c r="Q155" s="28"/>
      <c r="R155" s="28"/>
      <c r="S155" s="28"/>
      <c r="T155" s="28"/>
      <c r="U155" s="19"/>
      <c r="V155" s="27"/>
      <c r="W155" s="27"/>
      <c r="X155" s="27"/>
      <c r="Y155" s="27"/>
      <c r="Z155" s="19"/>
      <c r="AA155" s="24"/>
      <c r="AB155" s="30"/>
      <c r="AC155" s="30"/>
      <c r="AD155" s="30"/>
      <c r="AE155" s="24"/>
      <c r="AF155" s="24"/>
    </row>
    <row r="156" ht="15.75" customHeight="1">
      <c r="B156" s="18"/>
      <c r="C156" s="18"/>
      <c r="D156" s="18"/>
      <c r="E156" s="18"/>
      <c r="F156" s="19"/>
      <c r="G156" s="27"/>
      <c r="H156" s="27"/>
      <c r="I156" s="27"/>
      <c r="J156" s="27"/>
      <c r="K156" s="21"/>
      <c r="L156" s="27"/>
      <c r="M156" s="27"/>
      <c r="N156" s="27"/>
      <c r="O156" s="27"/>
      <c r="P156" s="21"/>
      <c r="Q156" s="28"/>
      <c r="R156" s="28"/>
      <c r="S156" s="28"/>
      <c r="T156" s="28"/>
      <c r="U156" s="19"/>
      <c r="V156" s="27"/>
      <c r="W156" s="27"/>
      <c r="X156" s="27"/>
      <c r="Y156" s="27"/>
      <c r="Z156" s="19"/>
      <c r="AA156" s="24"/>
      <c r="AB156" s="30"/>
      <c r="AC156" s="30"/>
      <c r="AD156" s="30"/>
      <c r="AE156" s="24"/>
      <c r="AF156" s="24"/>
    </row>
    <row r="157" ht="15.75" customHeight="1">
      <c r="B157" s="18"/>
      <c r="C157" s="18"/>
      <c r="D157" s="18"/>
      <c r="E157" s="18"/>
      <c r="F157" s="19"/>
      <c r="G157" s="27"/>
      <c r="H157" s="27"/>
      <c r="I157" s="27"/>
      <c r="J157" s="27"/>
      <c r="K157" s="21"/>
      <c r="L157" s="27"/>
      <c r="M157" s="27"/>
      <c r="N157" s="27"/>
      <c r="O157" s="27"/>
      <c r="P157" s="21"/>
      <c r="Q157" s="28"/>
      <c r="R157" s="28"/>
      <c r="S157" s="28"/>
      <c r="T157" s="28"/>
      <c r="U157" s="19"/>
      <c r="V157" s="27"/>
      <c r="W157" s="27"/>
      <c r="X157" s="27"/>
      <c r="Y157" s="27"/>
      <c r="Z157" s="19"/>
      <c r="AA157" s="24"/>
      <c r="AB157" s="30"/>
      <c r="AC157" s="30"/>
      <c r="AD157" s="30"/>
      <c r="AE157" s="24"/>
      <c r="AF157" s="24"/>
    </row>
    <row r="158" ht="15.75" customHeight="1">
      <c r="B158" s="18"/>
      <c r="C158" s="18"/>
      <c r="D158" s="18"/>
      <c r="E158" s="18"/>
      <c r="F158" s="19"/>
      <c r="G158" s="27"/>
      <c r="H158" s="27"/>
      <c r="I158" s="27"/>
      <c r="J158" s="27"/>
      <c r="K158" s="21"/>
      <c r="L158" s="27"/>
      <c r="M158" s="27"/>
      <c r="N158" s="27"/>
      <c r="O158" s="27"/>
      <c r="P158" s="21"/>
      <c r="Q158" s="28"/>
      <c r="R158" s="28"/>
      <c r="S158" s="28"/>
      <c r="T158" s="28"/>
      <c r="U158" s="19"/>
      <c r="V158" s="27"/>
      <c r="W158" s="27"/>
      <c r="X158" s="27"/>
      <c r="Y158" s="27"/>
      <c r="Z158" s="19"/>
      <c r="AA158" s="24"/>
      <c r="AB158" s="30"/>
      <c r="AC158" s="30"/>
      <c r="AD158" s="30"/>
      <c r="AE158" s="24"/>
      <c r="AF158" s="24"/>
    </row>
    <row r="159" ht="15.75" customHeight="1">
      <c r="B159" s="18"/>
      <c r="C159" s="18"/>
      <c r="D159" s="18"/>
      <c r="E159" s="18"/>
      <c r="F159" s="19"/>
      <c r="G159" s="27"/>
      <c r="H159" s="27"/>
      <c r="I159" s="27"/>
      <c r="J159" s="27"/>
      <c r="K159" s="21"/>
      <c r="L159" s="27"/>
      <c r="M159" s="27"/>
      <c r="N159" s="27"/>
      <c r="O159" s="27"/>
      <c r="P159" s="21"/>
      <c r="Q159" s="28"/>
      <c r="R159" s="28"/>
      <c r="S159" s="28"/>
      <c r="T159" s="28"/>
      <c r="U159" s="19"/>
      <c r="V159" s="27"/>
      <c r="W159" s="27"/>
      <c r="X159" s="27"/>
      <c r="Y159" s="27"/>
      <c r="Z159" s="19"/>
      <c r="AA159" s="24"/>
      <c r="AB159" s="30"/>
      <c r="AC159" s="30"/>
      <c r="AD159" s="30"/>
      <c r="AE159" s="24"/>
      <c r="AF159" s="24"/>
    </row>
    <row r="160" ht="15.75" customHeight="1">
      <c r="B160" s="18"/>
      <c r="C160" s="18"/>
      <c r="D160" s="18"/>
      <c r="E160" s="18"/>
      <c r="F160" s="19"/>
      <c r="G160" s="27"/>
      <c r="H160" s="27"/>
      <c r="I160" s="27"/>
      <c r="J160" s="27"/>
      <c r="K160" s="21"/>
      <c r="L160" s="27"/>
      <c r="M160" s="27"/>
      <c r="N160" s="27"/>
      <c r="O160" s="27"/>
      <c r="P160" s="21"/>
      <c r="Q160" s="28"/>
      <c r="R160" s="28"/>
      <c r="S160" s="28"/>
      <c r="T160" s="28"/>
      <c r="U160" s="19"/>
      <c r="V160" s="27"/>
      <c r="W160" s="27"/>
      <c r="X160" s="27"/>
      <c r="Y160" s="27"/>
      <c r="Z160" s="19"/>
      <c r="AA160" s="24"/>
      <c r="AB160" s="30"/>
      <c r="AC160" s="30"/>
      <c r="AD160" s="30"/>
      <c r="AE160" s="24"/>
      <c r="AF160" s="24"/>
    </row>
    <row r="161" ht="15.75" customHeight="1">
      <c r="B161" s="18"/>
      <c r="C161" s="18"/>
      <c r="D161" s="18"/>
      <c r="E161" s="18"/>
      <c r="F161" s="19"/>
      <c r="G161" s="27"/>
      <c r="H161" s="27"/>
      <c r="I161" s="27"/>
      <c r="J161" s="27"/>
      <c r="K161" s="21"/>
      <c r="L161" s="27"/>
      <c r="M161" s="27"/>
      <c r="N161" s="27"/>
      <c r="O161" s="27"/>
      <c r="P161" s="21"/>
      <c r="Q161" s="28"/>
      <c r="R161" s="28"/>
      <c r="S161" s="28"/>
      <c r="T161" s="28"/>
      <c r="U161" s="19"/>
      <c r="V161" s="27"/>
      <c r="W161" s="27"/>
      <c r="X161" s="27"/>
      <c r="Y161" s="27"/>
      <c r="Z161" s="19"/>
      <c r="AA161" s="24"/>
      <c r="AB161" s="30"/>
      <c r="AC161" s="30"/>
      <c r="AD161" s="30"/>
      <c r="AE161" s="24"/>
      <c r="AF161" s="24"/>
    </row>
    <row r="162" ht="15.75" customHeight="1">
      <c r="B162" s="18"/>
      <c r="C162" s="18"/>
      <c r="D162" s="18"/>
      <c r="E162" s="18"/>
      <c r="F162" s="19"/>
      <c r="G162" s="27"/>
      <c r="H162" s="27"/>
      <c r="I162" s="27"/>
      <c r="J162" s="27"/>
      <c r="K162" s="21"/>
      <c r="L162" s="27"/>
      <c r="M162" s="27"/>
      <c r="N162" s="27"/>
      <c r="O162" s="27"/>
      <c r="P162" s="21"/>
      <c r="Q162" s="28"/>
      <c r="R162" s="28"/>
      <c r="S162" s="28"/>
      <c r="T162" s="28"/>
      <c r="U162" s="19"/>
      <c r="V162" s="27"/>
      <c r="W162" s="27"/>
      <c r="X162" s="27"/>
      <c r="Y162" s="27"/>
      <c r="Z162" s="19"/>
      <c r="AA162" s="24"/>
      <c r="AB162" s="30"/>
      <c r="AC162" s="30"/>
      <c r="AD162" s="30"/>
      <c r="AE162" s="24"/>
      <c r="AF162" s="24"/>
    </row>
    <row r="163" ht="15.75" customHeight="1">
      <c r="B163" s="18"/>
      <c r="C163" s="18"/>
      <c r="D163" s="18"/>
      <c r="E163" s="18"/>
      <c r="F163" s="19"/>
      <c r="G163" s="27"/>
      <c r="H163" s="27"/>
      <c r="I163" s="27"/>
      <c r="J163" s="27"/>
      <c r="K163" s="21"/>
      <c r="L163" s="27"/>
      <c r="M163" s="27"/>
      <c r="N163" s="27"/>
      <c r="O163" s="27"/>
      <c r="P163" s="21"/>
      <c r="Q163" s="28"/>
      <c r="R163" s="28"/>
      <c r="S163" s="28"/>
      <c r="T163" s="28"/>
      <c r="U163" s="19"/>
      <c r="V163" s="27"/>
      <c r="W163" s="27"/>
      <c r="X163" s="27"/>
      <c r="Y163" s="27"/>
      <c r="Z163" s="19"/>
      <c r="AA163" s="24"/>
      <c r="AB163" s="30"/>
      <c r="AC163" s="30"/>
      <c r="AD163" s="30"/>
      <c r="AE163" s="24"/>
      <c r="AF163" s="24"/>
    </row>
    <row r="164" ht="15.75" customHeight="1">
      <c r="B164" s="18"/>
      <c r="C164" s="18"/>
      <c r="D164" s="18"/>
      <c r="E164" s="18"/>
      <c r="F164" s="19"/>
      <c r="G164" s="27"/>
      <c r="H164" s="27"/>
      <c r="I164" s="27"/>
      <c r="J164" s="27"/>
      <c r="K164" s="21"/>
      <c r="L164" s="27"/>
      <c r="M164" s="27"/>
      <c r="N164" s="27"/>
      <c r="O164" s="27"/>
      <c r="P164" s="21"/>
      <c r="Q164" s="28"/>
      <c r="R164" s="28"/>
      <c r="S164" s="28"/>
      <c r="T164" s="28"/>
      <c r="U164" s="19"/>
      <c r="V164" s="27"/>
      <c r="W164" s="27"/>
      <c r="X164" s="27"/>
      <c r="Y164" s="27"/>
      <c r="Z164" s="19"/>
      <c r="AA164" s="24"/>
      <c r="AB164" s="30"/>
      <c r="AC164" s="30"/>
      <c r="AD164" s="30"/>
      <c r="AE164" s="24"/>
      <c r="AF164" s="24"/>
    </row>
    <row r="165" ht="15.75" customHeight="1">
      <c r="B165" s="18"/>
      <c r="C165" s="18"/>
      <c r="D165" s="18"/>
      <c r="E165" s="18"/>
      <c r="F165" s="19"/>
      <c r="G165" s="27"/>
      <c r="H165" s="27"/>
      <c r="I165" s="27"/>
      <c r="J165" s="27"/>
      <c r="K165" s="21"/>
      <c r="L165" s="27"/>
      <c r="M165" s="27"/>
      <c r="N165" s="27"/>
      <c r="O165" s="27"/>
      <c r="P165" s="21"/>
      <c r="Q165" s="28"/>
      <c r="R165" s="28"/>
      <c r="S165" s="28"/>
      <c r="T165" s="28"/>
      <c r="U165" s="19"/>
      <c r="V165" s="27"/>
      <c r="W165" s="27"/>
      <c r="X165" s="27"/>
      <c r="Y165" s="27"/>
      <c r="Z165" s="19"/>
      <c r="AA165" s="24"/>
      <c r="AB165" s="30"/>
      <c r="AC165" s="30"/>
      <c r="AD165" s="30"/>
      <c r="AE165" s="24"/>
      <c r="AF165" s="24"/>
    </row>
    <row r="166" ht="15.75" customHeight="1">
      <c r="B166" s="18"/>
      <c r="C166" s="18"/>
      <c r="D166" s="18"/>
      <c r="E166" s="18"/>
      <c r="F166" s="19"/>
      <c r="G166" s="27"/>
      <c r="H166" s="27"/>
      <c r="I166" s="27"/>
      <c r="J166" s="27"/>
      <c r="K166" s="21"/>
      <c r="L166" s="27"/>
      <c r="M166" s="27"/>
      <c r="N166" s="27"/>
      <c r="O166" s="27"/>
      <c r="P166" s="21"/>
      <c r="Q166" s="28"/>
      <c r="R166" s="28"/>
      <c r="S166" s="28"/>
      <c r="T166" s="28"/>
      <c r="U166" s="19"/>
      <c r="V166" s="27"/>
      <c r="W166" s="27"/>
      <c r="X166" s="27"/>
      <c r="Y166" s="27"/>
      <c r="Z166" s="19"/>
      <c r="AA166" s="24"/>
      <c r="AB166" s="30"/>
      <c r="AC166" s="30"/>
      <c r="AD166" s="30"/>
      <c r="AE166" s="24"/>
      <c r="AF166" s="24"/>
    </row>
    <row r="167" ht="15.75" customHeight="1">
      <c r="B167" s="18"/>
      <c r="C167" s="18"/>
      <c r="D167" s="18"/>
      <c r="E167" s="18"/>
      <c r="F167" s="19"/>
      <c r="G167" s="27"/>
      <c r="H167" s="27"/>
      <c r="I167" s="27"/>
      <c r="J167" s="27"/>
      <c r="K167" s="21"/>
      <c r="L167" s="27"/>
      <c r="M167" s="27"/>
      <c r="N167" s="27"/>
      <c r="O167" s="27"/>
      <c r="P167" s="21"/>
      <c r="Q167" s="28"/>
      <c r="R167" s="28"/>
      <c r="S167" s="28"/>
      <c r="T167" s="28"/>
      <c r="U167" s="19"/>
      <c r="V167" s="27"/>
      <c r="W167" s="27"/>
      <c r="X167" s="27"/>
      <c r="Y167" s="27"/>
      <c r="Z167" s="19"/>
      <c r="AA167" s="24"/>
      <c r="AB167" s="30"/>
      <c r="AC167" s="30"/>
      <c r="AD167" s="30"/>
      <c r="AE167" s="24"/>
      <c r="AF167" s="24"/>
    </row>
    <row r="168" ht="15.75" customHeight="1">
      <c r="B168" s="18"/>
      <c r="C168" s="18"/>
      <c r="D168" s="18"/>
      <c r="E168" s="18"/>
      <c r="F168" s="19"/>
      <c r="G168" s="27"/>
      <c r="H168" s="27"/>
      <c r="I168" s="27"/>
      <c r="J168" s="27"/>
      <c r="K168" s="21"/>
      <c r="L168" s="27"/>
      <c r="M168" s="27"/>
      <c r="N168" s="27"/>
      <c r="O168" s="27"/>
      <c r="P168" s="21"/>
      <c r="Q168" s="28"/>
      <c r="R168" s="28"/>
      <c r="S168" s="28"/>
      <c r="T168" s="28"/>
      <c r="U168" s="19"/>
      <c r="V168" s="27"/>
      <c r="W168" s="27"/>
      <c r="X168" s="27"/>
      <c r="Y168" s="27"/>
      <c r="Z168" s="19"/>
      <c r="AA168" s="24"/>
      <c r="AB168" s="30"/>
      <c r="AC168" s="30"/>
      <c r="AD168" s="30"/>
      <c r="AE168" s="24"/>
      <c r="AF168" s="24"/>
    </row>
    <row r="169" ht="15.75" customHeight="1">
      <c r="B169" s="18"/>
      <c r="C169" s="18"/>
      <c r="D169" s="18"/>
      <c r="E169" s="18"/>
      <c r="F169" s="19"/>
      <c r="G169" s="27"/>
      <c r="H169" s="27"/>
      <c r="I169" s="27"/>
      <c r="J169" s="27"/>
      <c r="K169" s="21"/>
      <c r="L169" s="27"/>
      <c r="M169" s="27"/>
      <c r="N169" s="27"/>
      <c r="O169" s="27"/>
      <c r="P169" s="21"/>
      <c r="Q169" s="28"/>
      <c r="R169" s="28"/>
      <c r="S169" s="28"/>
      <c r="T169" s="28"/>
      <c r="U169" s="19"/>
      <c r="V169" s="27"/>
      <c r="W169" s="27"/>
      <c r="X169" s="27"/>
      <c r="Y169" s="27"/>
      <c r="Z169" s="19"/>
      <c r="AA169" s="24"/>
      <c r="AB169" s="30"/>
      <c r="AC169" s="30"/>
      <c r="AD169" s="30"/>
      <c r="AE169" s="24"/>
      <c r="AF169" s="24"/>
    </row>
    <row r="170" ht="15.75" customHeight="1">
      <c r="B170" s="18"/>
      <c r="C170" s="18"/>
      <c r="D170" s="18"/>
      <c r="E170" s="18"/>
      <c r="F170" s="19"/>
      <c r="G170" s="27"/>
      <c r="H170" s="27"/>
      <c r="I170" s="27"/>
      <c r="J170" s="27"/>
      <c r="K170" s="21"/>
      <c r="L170" s="27"/>
      <c r="M170" s="27"/>
      <c r="N170" s="27"/>
      <c r="O170" s="27"/>
      <c r="P170" s="21"/>
      <c r="Q170" s="28"/>
      <c r="R170" s="28"/>
      <c r="S170" s="28"/>
      <c r="T170" s="28"/>
      <c r="U170" s="19"/>
      <c r="V170" s="27"/>
      <c r="W170" s="27"/>
      <c r="X170" s="27"/>
      <c r="Y170" s="27"/>
      <c r="Z170" s="19"/>
      <c r="AA170" s="24"/>
      <c r="AB170" s="30"/>
      <c r="AC170" s="30"/>
      <c r="AD170" s="30"/>
      <c r="AE170" s="24"/>
      <c r="AF170" s="24"/>
    </row>
    <row r="171" ht="15.75" customHeight="1">
      <c r="B171" s="18"/>
      <c r="C171" s="18"/>
      <c r="D171" s="18"/>
      <c r="E171" s="18"/>
      <c r="F171" s="19"/>
      <c r="G171" s="27"/>
      <c r="H171" s="27"/>
      <c r="I171" s="27"/>
      <c r="J171" s="27"/>
      <c r="K171" s="21"/>
      <c r="L171" s="27"/>
      <c r="M171" s="27"/>
      <c r="N171" s="27"/>
      <c r="O171" s="27"/>
      <c r="P171" s="21"/>
      <c r="Q171" s="28"/>
      <c r="R171" s="28"/>
      <c r="S171" s="28"/>
      <c r="T171" s="28"/>
      <c r="U171" s="19"/>
      <c r="V171" s="27"/>
      <c r="W171" s="27"/>
      <c r="X171" s="27"/>
      <c r="Y171" s="27"/>
      <c r="Z171" s="19"/>
      <c r="AA171" s="24"/>
      <c r="AB171" s="30"/>
      <c r="AC171" s="30"/>
      <c r="AD171" s="30"/>
      <c r="AE171" s="24"/>
      <c r="AF171" s="24"/>
    </row>
    <row r="172" ht="15.75" customHeight="1">
      <c r="B172" s="18"/>
      <c r="C172" s="18"/>
      <c r="D172" s="18"/>
      <c r="E172" s="18"/>
      <c r="F172" s="19"/>
      <c r="G172" s="27"/>
      <c r="H172" s="27"/>
      <c r="I172" s="27"/>
      <c r="J172" s="27"/>
      <c r="K172" s="21"/>
      <c r="L172" s="27"/>
      <c r="M172" s="27"/>
      <c r="N172" s="27"/>
      <c r="O172" s="27"/>
      <c r="P172" s="21"/>
      <c r="Q172" s="28"/>
      <c r="R172" s="28"/>
      <c r="S172" s="28"/>
      <c r="T172" s="28"/>
      <c r="U172" s="19"/>
      <c r="V172" s="27"/>
      <c r="W172" s="27"/>
      <c r="X172" s="27"/>
      <c r="Y172" s="27"/>
      <c r="Z172" s="19"/>
      <c r="AA172" s="24"/>
      <c r="AB172" s="30"/>
      <c r="AC172" s="30"/>
      <c r="AD172" s="30"/>
      <c r="AE172" s="24"/>
      <c r="AF172" s="24"/>
    </row>
    <row r="173" ht="15.75" customHeight="1">
      <c r="B173" s="18"/>
      <c r="C173" s="18"/>
      <c r="D173" s="18"/>
      <c r="E173" s="18"/>
      <c r="F173" s="19"/>
      <c r="G173" s="27"/>
      <c r="H173" s="27"/>
      <c r="I173" s="27"/>
      <c r="J173" s="27"/>
      <c r="K173" s="21"/>
      <c r="L173" s="27"/>
      <c r="M173" s="27"/>
      <c r="N173" s="27"/>
      <c r="O173" s="27"/>
      <c r="P173" s="21"/>
      <c r="Q173" s="28"/>
      <c r="R173" s="28"/>
      <c r="S173" s="28"/>
      <c r="T173" s="28"/>
      <c r="U173" s="19"/>
      <c r="V173" s="27"/>
      <c r="W173" s="27"/>
      <c r="X173" s="27"/>
      <c r="Y173" s="27"/>
      <c r="Z173" s="19"/>
      <c r="AA173" s="24"/>
      <c r="AB173" s="30"/>
      <c r="AC173" s="30"/>
      <c r="AD173" s="30"/>
      <c r="AE173" s="24"/>
      <c r="AF173" s="24"/>
    </row>
    <row r="174" ht="15.75" customHeight="1">
      <c r="B174" s="18"/>
      <c r="C174" s="18"/>
      <c r="D174" s="18"/>
      <c r="E174" s="18"/>
      <c r="F174" s="19"/>
      <c r="G174" s="27"/>
      <c r="H174" s="27"/>
      <c r="I174" s="27"/>
      <c r="J174" s="27"/>
      <c r="K174" s="21"/>
      <c r="L174" s="27"/>
      <c r="M174" s="27"/>
      <c r="N174" s="27"/>
      <c r="O174" s="27"/>
      <c r="P174" s="21"/>
      <c r="Q174" s="28"/>
      <c r="R174" s="28"/>
      <c r="S174" s="28"/>
      <c r="T174" s="28"/>
      <c r="U174" s="19"/>
      <c r="V174" s="27"/>
      <c r="W174" s="27"/>
      <c r="X174" s="27"/>
      <c r="Y174" s="27"/>
      <c r="Z174" s="19"/>
      <c r="AA174" s="24"/>
      <c r="AB174" s="30"/>
      <c r="AC174" s="30"/>
      <c r="AD174" s="30"/>
      <c r="AE174" s="24"/>
      <c r="AF174" s="24"/>
    </row>
    <row r="175" ht="15.75" customHeight="1">
      <c r="B175" s="18"/>
      <c r="C175" s="18"/>
      <c r="D175" s="18"/>
      <c r="E175" s="18"/>
      <c r="F175" s="19"/>
      <c r="G175" s="27"/>
      <c r="H175" s="27"/>
      <c r="I175" s="27"/>
      <c r="J175" s="27"/>
      <c r="K175" s="21"/>
      <c r="L175" s="27"/>
      <c r="M175" s="27"/>
      <c r="N175" s="27"/>
      <c r="O175" s="27"/>
      <c r="P175" s="21"/>
      <c r="Q175" s="28"/>
      <c r="R175" s="28"/>
      <c r="S175" s="28"/>
      <c r="T175" s="28"/>
      <c r="U175" s="19"/>
      <c r="V175" s="27"/>
      <c r="W175" s="27"/>
      <c r="X175" s="27"/>
      <c r="Y175" s="27"/>
      <c r="Z175" s="19"/>
      <c r="AA175" s="24"/>
      <c r="AB175" s="30"/>
      <c r="AC175" s="30"/>
      <c r="AD175" s="30"/>
      <c r="AE175" s="24"/>
      <c r="AF175" s="24"/>
    </row>
    <row r="176" ht="15.75" customHeight="1">
      <c r="B176" s="18"/>
      <c r="C176" s="18"/>
      <c r="D176" s="18"/>
      <c r="E176" s="18"/>
      <c r="F176" s="19"/>
      <c r="G176" s="27"/>
      <c r="H176" s="27"/>
      <c r="I176" s="27"/>
      <c r="J176" s="27"/>
      <c r="K176" s="21"/>
      <c r="L176" s="27"/>
      <c r="M176" s="27"/>
      <c r="N176" s="27"/>
      <c r="O176" s="27"/>
      <c r="P176" s="21"/>
      <c r="Q176" s="28"/>
      <c r="R176" s="28"/>
      <c r="S176" s="28"/>
      <c r="T176" s="28"/>
      <c r="U176" s="19"/>
      <c r="V176" s="27"/>
      <c r="W176" s="27"/>
      <c r="X176" s="27"/>
      <c r="Y176" s="27"/>
      <c r="Z176" s="19"/>
      <c r="AA176" s="24"/>
      <c r="AB176" s="30"/>
      <c r="AC176" s="30"/>
      <c r="AD176" s="30"/>
      <c r="AE176" s="24"/>
      <c r="AF176" s="24"/>
    </row>
    <row r="177" ht="15.75" customHeight="1">
      <c r="B177" s="18"/>
      <c r="C177" s="18"/>
      <c r="D177" s="18"/>
      <c r="E177" s="18"/>
      <c r="F177" s="19"/>
      <c r="G177" s="27"/>
      <c r="H177" s="27"/>
      <c r="I177" s="27"/>
      <c r="J177" s="27"/>
      <c r="K177" s="21"/>
      <c r="L177" s="27"/>
      <c r="M177" s="27"/>
      <c r="N177" s="27"/>
      <c r="O177" s="27"/>
      <c r="P177" s="21"/>
      <c r="Q177" s="28"/>
      <c r="R177" s="28"/>
      <c r="S177" s="28"/>
      <c r="T177" s="28"/>
      <c r="U177" s="19"/>
      <c r="V177" s="27"/>
      <c r="W177" s="27"/>
      <c r="X177" s="27"/>
      <c r="Y177" s="27"/>
      <c r="Z177" s="19"/>
      <c r="AA177" s="24"/>
      <c r="AB177" s="30"/>
      <c r="AC177" s="30"/>
      <c r="AD177" s="30"/>
      <c r="AE177" s="24"/>
      <c r="AF177" s="24"/>
    </row>
    <row r="178" ht="15.75" customHeight="1">
      <c r="B178" s="18"/>
      <c r="C178" s="18"/>
      <c r="D178" s="18"/>
      <c r="E178" s="18"/>
      <c r="F178" s="19"/>
      <c r="G178" s="27"/>
      <c r="H178" s="27"/>
      <c r="I178" s="27"/>
      <c r="J178" s="27"/>
      <c r="K178" s="21"/>
      <c r="L178" s="27"/>
      <c r="M178" s="27"/>
      <c r="N178" s="27"/>
      <c r="O178" s="27"/>
      <c r="P178" s="21"/>
      <c r="Q178" s="28"/>
      <c r="R178" s="28"/>
      <c r="S178" s="28"/>
      <c r="T178" s="28"/>
      <c r="U178" s="19"/>
      <c r="V178" s="27"/>
      <c r="W178" s="27"/>
      <c r="X178" s="27"/>
      <c r="Y178" s="27"/>
      <c r="Z178" s="19"/>
      <c r="AA178" s="24"/>
      <c r="AB178" s="30"/>
      <c r="AC178" s="30"/>
      <c r="AD178" s="30"/>
      <c r="AE178" s="24"/>
      <c r="AF178" s="24"/>
    </row>
    <row r="179" ht="15.75" customHeight="1">
      <c r="B179" s="18"/>
      <c r="C179" s="18"/>
      <c r="D179" s="18"/>
      <c r="E179" s="18"/>
      <c r="F179" s="19"/>
      <c r="G179" s="27"/>
      <c r="H179" s="27"/>
      <c r="I179" s="27"/>
      <c r="J179" s="27"/>
      <c r="K179" s="21"/>
      <c r="L179" s="27"/>
      <c r="M179" s="27"/>
      <c r="N179" s="27"/>
      <c r="O179" s="27"/>
      <c r="P179" s="21"/>
      <c r="Q179" s="28"/>
      <c r="R179" s="28"/>
      <c r="S179" s="28"/>
      <c r="T179" s="28"/>
      <c r="U179" s="19"/>
      <c r="V179" s="27"/>
      <c r="W179" s="27"/>
      <c r="X179" s="27"/>
      <c r="Y179" s="27"/>
      <c r="Z179" s="19"/>
      <c r="AA179" s="24"/>
      <c r="AB179" s="30"/>
      <c r="AC179" s="30"/>
      <c r="AD179" s="30"/>
      <c r="AE179" s="24"/>
      <c r="AF179" s="24"/>
    </row>
    <row r="180" ht="15.75" customHeight="1">
      <c r="B180" s="18"/>
      <c r="C180" s="18"/>
      <c r="D180" s="18"/>
      <c r="E180" s="18"/>
      <c r="F180" s="19"/>
      <c r="G180" s="27"/>
      <c r="H180" s="27"/>
      <c r="I180" s="27"/>
      <c r="J180" s="27"/>
      <c r="K180" s="21"/>
      <c r="L180" s="27"/>
      <c r="M180" s="27"/>
      <c r="N180" s="27"/>
      <c r="O180" s="27"/>
      <c r="P180" s="21"/>
      <c r="Q180" s="28"/>
      <c r="R180" s="28"/>
      <c r="S180" s="28"/>
      <c r="T180" s="28"/>
      <c r="U180" s="19"/>
      <c r="V180" s="27"/>
      <c r="W180" s="27"/>
      <c r="X180" s="27"/>
      <c r="Y180" s="27"/>
      <c r="Z180" s="19"/>
      <c r="AA180" s="24"/>
      <c r="AB180" s="30"/>
      <c r="AC180" s="30"/>
      <c r="AD180" s="30"/>
      <c r="AE180" s="24"/>
      <c r="AF180" s="24"/>
    </row>
    <row r="181" ht="15.75" customHeight="1">
      <c r="B181" s="18"/>
      <c r="C181" s="18"/>
      <c r="D181" s="18"/>
      <c r="E181" s="18"/>
      <c r="F181" s="19"/>
      <c r="G181" s="27"/>
      <c r="H181" s="27"/>
      <c r="I181" s="27"/>
      <c r="J181" s="27"/>
      <c r="K181" s="21"/>
      <c r="L181" s="27"/>
      <c r="M181" s="27"/>
      <c r="N181" s="27"/>
      <c r="O181" s="27"/>
      <c r="P181" s="21"/>
      <c r="Q181" s="28"/>
      <c r="R181" s="28"/>
      <c r="S181" s="28"/>
      <c r="T181" s="28"/>
      <c r="U181" s="19"/>
      <c r="V181" s="27"/>
      <c r="W181" s="27"/>
      <c r="X181" s="27"/>
      <c r="Y181" s="27"/>
      <c r="Z181" s="19"/>
      <c r="AA181" s="24"/>
      <c r="AB181" s="30"/>
      <c r="AC181" s="30"/>
      <c r="AD181" s="30"/>
      <c r="AE181" s="24"/>
      <c r="AF181" s="24"/>
    </row>
    <row r="182" ht="15.75" customHeight="1">
      <c r="B182" s="18"/>
      <c r="C182" s="18"/>
      <c r="D182" s="18"/>
      <c r="E182" s="18"/>
      <c r="F182" s="19"/>
      <c r="G182" s="27"/>
      <c r="H182" s="27"/>
      <c r="I182" s="27"/>
      <c r="J182" s="27"/>
      <c r="K182" s="21"/>
      <c r="L182" s="27"/>
      <c r="M182" s="27"/>
      <c r="N182" s="27"/>
      <c r="O182" s="27"/>
      <c r="P182" s="21"/>
      <c r="Q182" s="28"/>
      <c r="R182" s="28"/>
      <c r="S182" s="28"/>
      <c r="T182" s="28"/>
      <c r="U182" s="19"/>
      <c r="V182" s="27"/>
      <c r="W182" s="27"/>
      <c r="X182" s="27"/>
      <c r="Y182" s="27"/>
      <c r="Z182" s="19"/>
      <c r="AA182" s="24"/>
      <c r="AB182" s="30"/>
      <c r="AC182" s="30"/>
      <c r="AD182" s="30"/>
      <c r="AE182" s="24"/>
      <c r="AF182" s="24"/>
    </row>
    <row r="183" ht="15.75" customHeight="1">
      <c r="B183" s="18"/>
      <c r="C183" s="18"/>
      <c r="D183" s="18"/>
      <c r="E183" s="18"/>
      <c r="F183" s="19"/>
      <c r="G183" s="27"/>
      <c r="H183" s="27"/>
      <c r="I183" s="27"/>
      <c r="J183" s="27"/>
      <c r="K183" s="21"/>
      <c r="L183" s="27"/>
      <c r="M183" s="27"/>
      <c r="N183" s="27"/>
      <c r="O183" s="27"/>
      <c r="P183" s="21"/>
      <c r="Q183" s="28"/>
      <c r="R183" s="28"/>
      <c r="S183" s="28"/>
      <c r="T183" s="28"/>
      <c r="U183" s="19"/>
      <c r="V183" s="27"/>
      <c r="W183" s="27"/>
      <c r="X183" s="27"/>
      <c r="Y183" s="27"/>
      <c r="Z183" s="19"/>
      <c r="AA183" s="24"/>
      <c r="AB183" s="30"/>
      <c r="AC183" s="30"/>
      <c r="AD183" s="30"/>
      <c r="AE183" s="24"/>
      <c r="AF183" s="24"/>
    </row>
    <row r="184" ht="15.75" customHeight="1">
      <c r="B184" s="18"/>
      <c r="C184" s="18"/>
      <c r="D184" s="18"/>
      <c r="E184" s="18"/>
      <c r="F184" s="19"/>
      <c r="G184" s="27"/>
      <c r="H184" s="27"/>
      <c r="I184" s="27"/>
      <c r="J184" s="27"/>
      <c r="K184" s="21"/>
      <c r="L184" s="27"/>
      <c r="M184" s="27"/>
      <c r="N184" s="27"/>
      <c r="O184" s="27"/>
      <c r="P184" s="21"/>
      <c r="Q184" s="28"/>
      <c r="R184" s="28"/>
      <c r="S184" s="28"/>
      <c r="T184" s="28"/>
      <c r="U184" s="19"/>
      <c r="V184" s="27"/>
      <c r="W184" s="27"/>
      <c r="X184" s="27"/>
      <c r="Y184" s="27"/>
      <c r="Z184" s="19"/>
      <c r="AA184" s="24"/>
      <c r="AB184" s="30"/>
      <c r="AC184" s="30"/>
      <c r="AD184" s="30"/>
      <c r="AE184" s="24"/>
      <c r="AF184" s="24"/>
    </row>
    <row r="185" ht="15.75" customHeight="1">
      <c r="B185" s="18"/>
      <c r="C185" s="18"/>
      <c r="D185" s="18"/>
      <c r="E185" s="18"/>
      <c r="F185" s="19"/>
      <c r="G185" s="27"/>
      <c r="H185" s="27"/>
      <c r="I185" s="27"/>
      <c r="J185" s="27"/>
      <c r="K185" s="21"/>
      <c r="L185" s="27"/>
      <c r="M185" s="27"/>
      <c r="N185" s="27"/>
      <c r="O185" s="27"/>
      <c r="P185" s="21"/>
      <c r="Q185" s="28"/>
      <c r="R185" s="28"/>
      <c r="S185" s="28"/>
      <c r="T185" s="28"/>
      <c r="U185" s="19"/>
      <c r="V185" s="27"/>
      <c r="W185" s="27"/>
      <c r="X185" s="27"/>
      <c r="Y185" s="27"/>
      <c r="Z185" s="19"/>
      <c r="AA185" s="24"/>
      <c r="AB185" s="30"/>
      <c r="AC185" s="30"/>
      <c r="AD185" s="30"/>
      <c r="AE185" s="24"/>
      <c r="AF185" s="24"/>
    </row>
    <row r="186" ht="15.75" customHeight="1">
      <c r="B186" s="18"/>
      <c r="C186" s="18"/>
      <c r="D186" s="18"/>
      <c r="E186" s="18"/>
      <c r="F186" s="19"/>
      <c r="G186" s="27"/>
      <c r="H186" s="27"/>
      <c r="I186" s="27"/>
      <c r="J186" s="27"/>
      <c r="K186" s="21"/>
      <c r="L186" s="27"/>
      <c r="M186" s="27"/>
      <c r="N186" s="27"/>
      <c r="O186" s="27"/>
      <c r="P186" s="21"/>
      <c r="Q186" s="28"/>
      <c r="R186" s="28"/>
      <c r="S186" s="28"/>
      <c r="T186" s="28"/>
      <c r="U186" s="19"/>
      <c r="V186" s="27"/>
      <c r="W186" s="27"/>
      <c r="X186" s="27"/>
      <c r="Y186" s="27"/>
      <c r="Z186" s="19"/>
      <c r="AA186" s="24"/>
      <c r="AB186" s="30"/>
      <c r="AC186" s="30"/>
      <c r="AD186" s="30"/>
      <c r="AE186" s="24"/>
      <c r="AF186" s="24"/>
    </row>
    <row r="187" ht="15.75" customHeight="1">
      <c r="B187" s="18"/>
      <c r="C187" s="18"/>
      <c r="D187" s="18"/>
      <c r="E187" s="18"/>
      <c r="F187" s="19"/>
      <c r="G187" s="27"/>
      <c r="H187" s="27"/>
      <c r="I187" s="27"/>
      <c r="J187" s="27"/>
      <c r="K187" s="21"/>
      <c r="L187" s="27"/>
      <c r="M187" s="27"/>
      <c r="N187" s="27"/>
      <c r="O187" s="27"/>
      <c r="P187" s="21"/>
      <c r="Q187" s="28"/>
      <c r="R187" s="28"/>
      <c r="S187" s="28"/>
      <c r="T187" s="28"/>
      <c r="U187" s="19"/>
      <c r="V187" s="27"/>
      <c r="W187" s="27"/>
      <c r="X187" s="27"/>
      <c r="Y187" s="27"/>
      <c r="Z187" s="19"/>
      <c r="AA187" s="24"/>
      <c r="AB187" s="30"/>
      <c r="AC187" s="30"/>
      <c r="AD187" s="30"/>
      <c r="AE187" s="24"/>
      <c r="AF187" s="24"/>
    </row>
    <row r="188" ht="15.75" customHeight="1">
      <c r="B188" s="18"/>
      <c r="C188" s="18"/>
      <c r="D188" s="18"/>
      <c r="E188" s="18"/>
      <c r="F188" s="19"/>
      <c r="G188" s="27"/>
      <c r="H188" s="27"/>
      <c r="I188" s="27"/>
      <c r="J188" s="27"/>
      <c r="K188" s="21"/>
      <c r="L188" s="27"/>
      <c r="M188" s="27"/>
      <c r="N188" s="27"/>
      <c r="O188" s="27"/>
      <c r="P188" s="21"/>
      <c r="Q188" s="28"/>
      <c r="R188" s="28"/>
      <c r="S188" s="28"/>
      <c r="T188" s="28"/>
      <c r="U188" s="19"/>
      <c r="V188" s="27"/>
      <c r="W188" s="27"/>
      <c r="X188" s="27"/>
      <c r="Y188" s="27"/>
      <c r="Z188" s="19"/>
      <c r="AA188" s="24"/>
      <c r="AB188" s="30"/>
      <c r="AC188" s="30"/>
      <c r="AD188" s="30"/>
      <c r="AE188" s="24"/>
      <c r="AF188" s="24"/>
    </row>
    <row r="189" ht="15.75" customHeight="1">
      <c r="B189" s="18"/>
      <c r="C189" s="18"/>
      <c r="D189" s="18"/>
      <c r="E189" s="18"/>
      <c r="F189" s="19"/>
      <c r="G189" s="27"/>
      <c r="H189" s="27"/>
      <c r="I189" s="27"/>
      <c r="J189" s="27"/>
      <c r="K189" s="21"/>
      <c r="L189" s="27"/>
      <c r="M189" s="27"/>
      <c r="N189" s="27"/>
      <c r="O189" s="27"/>
      <c r="P189" s="21"/>
      <c r="Q189" s="28"/>
      <c r="R189" s="28"/>
      <c r="S189" s="28"/>
      <c r="T189" s="28"/>
      <c r="U189" s="19"/>
      <c r="V189" s="27"/>
      <c r="W189" s="27"/>
      <c r="X189" s="27"/>
      <c r="Y189" s="27"/>
      <c r="Z189" s="19"/>
      <c r="AA189" s="24"/>
      <c r="AB189" s="30"/>
      <c r="AC189" s="30"/>
      <c r="AD189" s="30"/>
      <c r="AE189" s="24"/>
      <c r="AF189" s="24"/>
    </row>
    <row r="190" ht="15.75" customHeight="1">
      <c r="B190" s="18"/>
      <c r="C190" s="18"/>
      <c r="D190" s="18"/>
      <c r="E190" s="18"/>
      <c r="F190" s="19"/>
      <c r="G190" s="27"/>
      <c r="H190" s="27"/>
      <c r="I190" s="27"/>
      <c r="J190" s="27"/>
      <c r="K190" s="21"/>
      <c r="L190" s="27"/>
      <c r="M190" s="27"/>
      <c r="N190" s="27"/>
      <c r="O190" s="27"/>
      <c r="P190" s="21"/>
      <c r="Q190" s="28"/>
      <c r="R190" s="28"/>
      <c r="S190" s="28"/>
      <c r="T190" s="28"/>
      <c r="U190" s="19"/>
      <c r="V190" s="27"/>
      <c r="W190" s="27"/>
      <c r="X190" s="27"/>
      <c r="Y190" s="27"/>
      <c r="Z190" s="19"/>
      <c r="AA190" s="24"/>
      <c r="AB190" s="30"/>
      <c r="AC190" s="30"/>
      <c r="AD190" s="30"/>
      <c r="AE190" s="24"/>
      <c r="AF190" s="24"/>
    </row>
    <row r="191" ht="15.75" customHeight="1">
      <c r="B191" s="18"/>
      <c r="C191" s="18"/>
      <c r="D191" s="18"/>
      <c r="E191" s="18"/>
      <c r="F191" s="19"/>
      <c r="G191" s="27"/>
      <c r="H191" s="27"/>
      <c r="I191" s="27"/>
      <c r="J191" s="27"/>
      <c r="K191" s="21"/>
      <c r="L191" s="27"/>
      <c r="M191" s="27"/>
      <c r="N191" s="27"/>
      <c r="O191" s="27"/>
      <c r="P191" s="21"/>
      <c r="Q191" s="28"/>
      <c r="R191" s="28"/>
      <c r="S191" s="28"/>
      <c r="T191" s="28"/>
      <c r="U191" s="19"/>
      <c r="V191" s="27"/>
      <c r="W191" s="27"/>
      <c r="X191" s="27"/>
      <c r="Y191" s="27"/>
      <c r="Z191" s="19"/>
      <c r="AA191" s="24"/>
      <c r="AB191" s="30"/>
      <c r="AC191" s="30"/>
      <c r="AD191" s="30"/>
      <c r="AE191" s="24"/>
      <c r="AF191" s="24"/>
    </row>
    <row r="192" ht="15.75" customHeight="1">
      <c r="B192" s="18"/>
      <c r="C192" s="18"/>
      <c r="D192" s="18"/>
      <c r="E192" s="18"/>
      <c r="F192" s="19"/>
      <c r="G192" s="27"/>
      <c r="H192" s="27"/>
      <c r="I192" s="27"/>
      <c r="J192" s="27"/>
      <c r="K192" s="21"/>
      <c r="L192" s="27"/>
      <c r="M192" s="27"/>
      <c r="N192" s="27"/>
      <c r="O192" s="27"/>
      <c r="P192" s="21"/>
      <c r="Q192" s="28"/>
      <c r="R192" s="28"/>
      <c r="S192" s="28"/>
      <c r="T192" s="28"/>
      <c r="U192" s="19"/>
      <c r="V192" s="27"/>
      <c r="W192" s="27"/>
      <c r="X192" s="27"/>
      <c r="Y192" s="27"/>
      <c r="Z192" s="19"/>
      <c r="AA192" s="24"/>
      <c r="AB192" s="30"/>
      <c r="AC192" s="30"/>
      <c r="AD192" s="30"/>
      <c r="AE192" s="24"/>
      <c r="AF192" s="24"/>
    </row>
    <row r="193" ht="15.75" customHeight="1">
      <c r="B193" s="18"/>
      <c r="C193" s="18"/>
      <c r="D193" s="18"/>
      <c r="E193" s="18"/>
      <c r="F193" s="19"/>
      <c r="G193" s="27"/>
      <c r="H193" s="27"/>
      <c r="I193" s="27"/>
      <c r="J193" s="27"/>
      <c r="K193" s="21"/>
      <c r="L193" s="27"/>
      <c r="M193" s="27"/>
      <c r="N193" s="27"/>
      <c r="O193" s="27"/>
      <c r="P193" s="21"/>
      <c r="Q193" s="28"/>
      <c r="R193" s="28"/>
      <c r="S193" s="28"/>
      <c r="T193" s="28"/>
      <c r="U193" s="19"/>
      <c r="V193" s="27"/>
      <c r="W193" s="27"/>
      <c r="X193" s="27"/>
      <c r="Y193" s="27"/>
      <c r="Z193" s="19"/>
      <c r="AA193" s="24"/>
      <c r="AB193" s="30"/>
      <c r="AC193" s="30"/>
      <c r="AD193" s="30"/>
      <c r="AE193" s="24"/>
      <c r="AF193" s="24"/>
    </row>
    <row r="194" ht="15.75" customHeight="1">
      <c r="B194" s="18"/>
      <c r="C194" s="18"/>
      <c r="D194" s="18"/>
      <c r="E194" s="18"/>
      <c r="F194" s="19"/>
      <c r="G194" s="27"/>
      <c r="H194" s="27"/>
      <c r="I194" s="27"/>
      <c r="J194" s="27"/>
      <c r="K194" s="21"/>
      <c r="L194" s="27"/>
      <c r="M194" s="27"/>
      <c r="N194" s="27"/>
      <c r="O194" s="27"/>
      <c r="P194" s="21"/>
      <c r="Q194" s="28"/>
      <c r="R194" s="28"/>
      <c r="S194" s="28"/>
      <c r="T194" s="28"/>
      <c r="U194" s="19"/>
      <c r="V194" s="27"/>
      <c r="W194" s="27"/>
      <c r="X194" s="27"/>
      <c r="Y194" s="27"/>
      <c r="Z194" s="19"/>
      <c r="AA194" s="24"/>
      <c r="AB194" s="30"/>
      <c r="AC194" s="30"/>
      <c r="AD194" s="30"/>
      <c r="AE194" s="24"/>
      <c r="AF194" s="24"/>
    </row>
    <row r="195" ht="15.75" customHeight="1">
      <c r="B195" s="18"/>
      <c r="C195" s="18"/>
      <c r="D195" s="18"/>
      <c r="E195" s="18"/>
      <c r="F195" s="19"/>
      <c r="G195" s="27"/>
      <c r="H195" s="27"/>
      <c r="I195" s="27"/>
      <c r="J195" s="27"/>
      <c r="K195" s="21"/>
      <c r="L195" s="27"/>
      <c r="M195" s="27"/>
      <c r="N195" s="27"/>
      <c r="O195" s="27"/>
      <c r="P195" s="21"/>
      <c r="Q195" s="28"/>
      <c r="R195" s="28"/>
      <c r="S195" s="28"/>
      <c r="T195" s="28"/>
      <c r="U195" s="19"/>
      <c r="V195" s="27"/>
      <c r="W195" s="27"/>
      <c r="X195" s="27"/>
      <c r="Y195" s="27"/>
      <c r="Z195" s="19"/>
      <c r="AA195" s="24"/>
      <c r="AB195" s="30"/>
      <c r="AC195" s="30"/>
      <c r="AD195" s="30"/>
      <c r="AE195" s="24"/>
      <c r="AF195" s="24"/>
    </row>
    <row r="196" ht="15.75" customHeight="1">
      <c r="B196" s="18"/>
      <c r="C196" s="18"/>
      <c r="D196" s="18"/>
      <c r="E196" s="18"/>
      <c r="F196" s="19"/>
      <c r="G196" s="27"/>
      <c r="H196" s="27"/>
      <c r="I196" s="27"/>
      <c r="J196" s="27"/>
      <c r="K196" s="21"/>
      <c r="L196" s="27"/>
      <c r="M196" s="27"/>
      <c r="N196" s="27"/>
      <c r="O196" s="27"/>
      <c r="P196" s="21"/>
      <c r="Q196" s="28"/>
      <c r="R196" s="28"/>
      <c r="S196" s="28"/>
      <c r="T196" s="28"/>
      <c r="U196" s="19"/>
      <c r="V196" s="27"/>
      <c r="W196" s="27"/>
      <c r="X196" s="27"/>
      <c r="Y196" s="27"/>
      <c r="Z196" s="19"/>
      <c r="AA196" s="24"/>
      <c r="AB196" s="30"/>
      <c r="AC196" s="30"/>
      <c r="AD196" s="30"/>
      <c r="AE196" s="24"/>
      <c r="AF196" s="24"/>
    </row>
    <row r="197" ht="15.75" customHeight="1">
      <c r="B197" s="18"/>
      <c r="C197" s="18"/>
      <c r="D197" s="18"/>
      <c r="E197" s="18"/>
      <c r="F197" s="19"/>
      <c r="G197" s="27"/>
      <c r="H197" s="27"/>
      <c r="I197" s="27"/>
      <c r="J197" s="27"/>
      <c r="K197" s="21"/>
      <c r="L197" s="27"/>
      <c r="M197" s="27"/>
      <c r="N197" s="27"/>
      <c r="O197" s="27"/>
      <c r="P197" s="21"/>
      <c r="Q197" s="28"/>
      <c r="R197" s="28"/>
      <c r="S197" s="28"/>
      <c r="T197" s="28"/>
      <c r="U197" s="19"/>
      <c r="V197" s="27"/>
      <c r="W197" s="27"/>
      <c r="X197" s="27"/>
      <c r="Y197" s="27"/>
      <c r="Z197" s="19"/>
      <c r="AA197" s="24"/>
      <c r="AB197" s="30"/>
      <c r="AC197" s="30"/>
      <c r="AD197" s="30"/>
      <c r="AE197" s="24"/>
      <c r="AF197" s="24"/>
    </row>
    <row r="198" ht="15.75" customHeight="1">
      <c r="B198" s="18"/>
      <c r="C198" s="18"/>
      <c r="D198" s="18"/>
      <c r="E198" s="18"/>
      <c r="F198" s="19"/>
      <c r="G198" s="27"/>
      <c r="H198" s="27"/>
      <c r="I198" s="27"/>
      <c r="J198" s="27"/>
      <c r="K198" s="21"/>
      <c r="L198" s="27"/>
      <c r="M198" s="27"/>
      <c r="N198" s="27"/>
      <c r="O198" s="27"/>
      <c r="P198" s="21"/>
      <c r="Q198" s="28"/>
      <c r="R198" s="28"/>
      <c r="S198" s="28"/>
      <c r="T198" s="28"/>
      <c r="U198" s="19"/>
      <c r="V198" s="27"/>
      <c r="W198" s="27"/>
      <c r="X198" s="27"/>
      <c r="Y198" s="27"/>
      <c r="Z198" s="19"/>
      <c r="AA198" s="24"/>
      <c r="AB198" s="30"/>
      <c r="AC198" s="30"/>
      <c r="AD198" s="30"/>
      <c r="AE198" s="24"/>
      <c r="AF198" s="24"/>
    </row>
    <row r="199" ht="15.75" customHeight="1">
      <c r="B199" s="18"/>
      <c r="C199" s="18"/>
      <c r="D199" s="18"/>
      <c r="E199" s="18"/>
      <c r="F199" s="19"/>
      <c r="G199" s="27"/>
      <c r="H199" s="27"/>
      <c r="I199" s="27"/>
      <c r="J199" s="27"/>
      <c r="K199" s="21"/>
      <c r="L199" s="27"/>
      <c r="M199" s="27"/>
      <c r="N199" s="27"/>
      <c r="O199" s="27"/>
      <c r="P199" s="21"/>
      <c r="Q199" s="28"/>
      <c r="R199" s="28"/>
      <c r="S199" s="28"/>
      <c r="T199" s="28"/>
      <c r="U199" s="19"/>
      <c r="V199" s="27"/>
      <c r="W199" s="27"/>
      <c r="X199" s="27"/>
      <c r="Y199" s="27"/>
      <c r="Z199" s="19"/>
      <c r="AA199" s="24"/>
      <c r="AB199" s="30"/>
      <c r="AC199" s="30"/>
      <c r="AD199" s="30"/>
      <c r="AE199" s="24"/>
      <c r="AF199" s="24"/>
    </row>
    <row r="200" ht="15.75" customHeight="1">
      <c r="B200" s="18"/>
      <c r="C200" s="18"/>
      <c r="D200" s="18"/>
      <c r="E200" s="18"/>
      <c r="F200" s="19"/>
      <c r="G200" s="27"/>
      <c r="H200" s="27"/>
      <c r="I200" s="27"/>
      <c r="J200" s="27"/>
      <c r="K200" s="21"/>
      <c r="L200" s="27"/>
      <c r="M200" s="27"/>
      <c r="N200" s="27"/>
      <c r="O200" s="27"/>
      <c r="P200" s="21"/>
      <c r="Q200" s="28"/>
      <c r="R200" s="28"/>
      <c r="S200" s="28"/>
      <c r="T200" s="28"/>
      <c r="U200" s="19"/>
      <c r="V200" s="27"/>
      <c r="W200" s="27"/>
      <c r="X200" s="27"/>
      <c r="Y200" s="27"/>
      <c r="Z200" s="19"/>
      <c r="AA200" s="24"/>
      <c r="AB200" s="30"/>
      <c r="AC200" s="30"/>
      <c r="AD200" s="30"/>
      <c r="AE200" s="24"/>
      <c r="AF200" s="24"/>
    </row>
    <row r="201" ht="15.75" customHeight="1">
      <c r="B201" s="18"/>
      <c r="C201" s="18"/>
      <c r="D201" s="18"/>
      <c r="E201" s="18"/>
      <c r="F201" s="19"/>
      <c r="G201" s="27"/>
      <c r="H201" s="27"/>
      <c r="I201" s="27"/>
      <c r="J201" s="27"/>
      <c r="K201" s="21"/>
      <c r="L201" s="27"/>
      <c r="M201" s="27"/>
      <c r="N201" s="27"/>
      <c r="O201" s="27"/>
      <c r="P201" s="21"/>
      <c r="Q201" s="28"/>
      <c r="R201" s="28"/>
      <c r="S201" s="28"/>
      <c r="T201" s="28"/>
      <c r="U201" s="19"/>
      <c r="V201" s="27"/>
      <c r="W201" s="27"/>
      <c r="X201" s="27"/>
      <c r="Y201" s="27"/>
      <c r="Z201" s="19"/>
      <c r="AA201" s="24"/>
      <c r="AB201" s="30"/>
      <c r="AC201" s="30"/>
      <c r="AD201" s="30"/>
      <c r="AE201" s="24"/>
      <c r="AF201" s="24"/>
    </row>
    <row r="202" ht="15.75" customHeight="1">
      <c r="B202" s="18"/>
      <c r="C202" s="18"/>
      <c r="D202" s="18"/>
      <c r="E202" s="18"/>
      <c r="F202" s="19"/>
      <c r="G202" s="27"/>
      <c r="H202" s="27"/>
      <c r="I202" s="27"/>
      <c r="J202" s="27"/>
      <c r="K202" s="21"/>
      <c r="L202" s="27"/>
      <c r="M202" s="27"/>
      <c r="N202" s="27"/>
      <c r="O202" s="27"/>
      <c r="P202" s="21"/>
      <c r="Q202" s="28"/>
      <c r="R202" s="28"/>
      <c r="S202" s="28"/>
      <c r="T202" s="28"/>
      <c r="U202" s="19"/>
      <c r="V202" s="27"/>
      <c r="W202" s="27"/>
      <c r="X202" s="27"/>
      <c r="Y202" s="27"/>
      <c r="Z202" s="19"/>
      <c r="AA202" s="24"/>
      <c r="AB202" s="30"/>
      <c r="AC202" s="30"/>
      <c r="AD202" s="30"/>
      <c r="AE202" s="24"/>
      <c r="AF202" s="24"/>
    </row>
    <row r="203" ht="15.75" customHeight="1">
      <c r="B203" s="18"/>
      <c r="C203" s="18"/>
      <c r="D203" s="18"/>
      <c r="E203" s="18"/>
      <c r="F203" s="19"/>
      <c r="G203" s="27"/>
      <c r="H203" s="27"/>
      <c r="I203" s="27"/>
      <c r="J203" s="27"/>
      <c r="K203" s="21"/>
      <c r="L203" s="27"/>
      <c r="M203" s="27"/>
      <c r="N203" s="27"/>
      <c r="O203" s="27"/>
      <c r="P203" s="21"/>
      <c r="Q203" s="28"/>
      <c r="R203" s="28"/>
      <c r="S203" s="28"/>
      <c r="T203" s="28"/>
      <c r="U203" s="19"/>
      <c r="V203" s="27"/>
      <c r="W203" s="27"/>
      <c r="X203" s="27"/>
      <c r="Y203" s="27"/>
      <c r="Z203" s="19"/>
      <c r="AA203" s="24"/>
      <c r="AB203" s="30"/>
      <c r="AC203" s="30"/>
      <c r="AD203" s="30"/>
      <c r="AE203" s="24"/>
      <c r="AF203" s="24"/>
    </row>
    <row r="204" ht="15.75" customHeight="1">
      <c r="B204" s="18"/>
      <c r="C204" s="18"/>
      <c r="D204" s="18"/>
      <c r="E204" s="18"/>
      <c r="F204" s="19"/>
      <c r="G204" s="27"/>
      <c r="H204" s="27"/>
      <c r="I204" s="27"/>
      <c r="J204" s="27"/>
      <c r="K204" s="21"/>
      <c r="L204" s="27"/>
      <c r="M204" s="27"/>
      <c r="N204" s="27"/>
      <c r="O204" s="27"/>
      <c r="P204" s="21"/>
      <c r="Q204" s="28"/>
      <c r="R204" s="28"/>
      <c r="S204" s="28"/>
      <c r="T204" s="28"/>
      <c r="U204" s="19"/>
      <c r="V204" s="27"/>
      <c r="W204" s="27"/>
      <c r="X204" s="27"/>
      <c r="Y204" s="27"/>
      <c r="Z204" s="19"/>
      <c r="AA204" s="24"/>
      <c r="AB204" s="30"/>
      <c r="AC204" s="30"/>
      <c r="AD204" s="30"/>
      <c r="AE204" s="24"/>
      <c r="AF204" s="24"/>
    </row>
    <row r="205" ht="15.75" customHeight="1">
      <c r="B205" s="18"/>
      <c r="C205" s="18"/>
      <c r="D205" s="18"/>
      <c r="E205" s="18"/>
      <c r="F205" s="19"/>
      <c r="G205" s="27"/>
      <c r="H205" s="27"/>
      <c r="I205" s="27"/>
      <c r="J205" s="27"/>
      <c r="K205" s="21"/>
      <c r="L205" s="27"/>
      <c r="M205" s="27"/>
      <c r="N205" s="27"/>
      <c r="O205" s="27"/>
      <c r="P205" s="21"/>
      <c r="Q205" s="28"/>
      <c r="R205" s="28"/>
      <c r="S205" s="28"/>
      <c r="T205" s="28"/>
      <c r="U205" s="19"/>
      <c r="V205" s="27"/>
      <c r="W205" s="27"/>
      <c r="X205" s="27"/>
      <c r="Y205" s="27"/>
      <c r="Z205" s="19"/>
      <c r="AA205" s="24"/>
      <c r="AB205" s="30"/>
      <c r="AC205" s="30"/>
      <c r="AD205" s="30"/>
      <c r="AE205" s="24"/>
      <c r="AF205" s="24"/>
    </row>
    <row r="206" ht="15.75" customHeight="1">
      <c r="B206" s="18"/>
      <c r="C206" s="18"/>
      <c r="D206" s="18"/>
      <c r="E206" s="18"/>
      <c r="F206" s="19"/>
      <c r="G206" s="27"/>
      <c r="H206" s="27"/>
      <c r="I206" s="27"/>
      <c r="J206" s="27"/>
      <c r="K206" s="21"/>
      <c r="L206" s="27"/>
      <c r="M206" s="27"/>
      <c r="N206" s="27"/>
      <c r="O206" s="27"/>
      <c r="P206" s="21"/>
      <c r="Q206" s="28"/>
      <c r="R206" s="28"/>
      <c r="S206" s="28"/>
      <c r="T206" s="28"/>
      <c r="U206" s="19"/>
      <c r="V206" s="27"/>
      <c r="W206" s="27"/>
      <c r="X206" s="27"/>
      <c r="Y206" s="27"/>
      <c r="Z206" s="19"/>
      <c r="AA206" s="24"/>
      <c r="AB206" s="30"/>
      <c r="AC206" s="30"/>
      <c r="AD206" s="30"/>
      <c r="AE206" s="24"/>
      <c r="AF206" s="24"/>
    </row>
    <row r="207" ht="15.75" customHeight="1">
      <c r="B207" s="18"/>
      <c r="C207" s="18"/>
      <c r="D207" s="18"/>
      <c r="E207" s="18"/>
      <c r="F207" s="19"/>
      <c r="G207" s="27"/>
      <c r="H207" s="27"/>
      <c r="I207" s="27"/>
      <c r="J207" s="27"/>
      <c r="K207" s="21"/>
      <c r="L207" s="27"/>
      <c r="M207" s="27"/>
      <c r="N207" s="27"/>
      <c r="O207" s="27"/>
      <c r="P207" s="21"/>
      <c r="Q207" s="28"/>
      <c r="R207" s="28"/>
      <c r="S207" s="28"/>
      <c r="T207" s="28"/>
      <c r="U207" s="19"/>
      <c r="V207" s="27"/>
      <c r="W207" s="27"/>
      <c r="X207" s="27"/>
      <c r="Y207" s="27"/>
      <c r="Z207" s="19"/>
      <c r="AA207" s="24"/>
      <c r="AB207" s="30"/>
      <c r="AC207" s="30"/>
      <c r="AD207" s="30"/>
      <c r="AE207" s="24"/>
      <c r="AF207" s="24"/>
    </row>
    <row r="208" ht="15.75" customHeight="1">
      <c r="B208" s="18"/>
      <c r="C208" s="18"/>
      <c r="D208" s="18"/>
      <c r="E208" s="18"/>
      <c r="F208" s="19"/>
      <c r="G208" s="27"/>
      <c r="H208" s="27"/>
      <c r="I208" s="27"/>
      <c r="J208" s="27"/>
      <c r="K208" s="21"/>
      <c r="L208" s="27"/>
      <c r="M208" s="27"/>
      <c r="N208" s="27"/>
      <c r="O208" s="27"/>
      <c r="P208" s="21"/>
      <c r="Q208" s="28"/>
      <c r="R208" s="28"/>
      <c r="S208" s="28"/>
      <c r="T208" s="28"/>
      <c r="U208" s="19"/>
      <c r="V208" s="27"/>
      <c r="W208" s="27"/>
      <c r="X208" s="27"/>
      <c r="Y208" s="27"/>
      <c r="Z208" s="19"/>
      <c r="AA208" s="24"/>
      <c r="AB208" s="30"/>
      <c r="AC208" s="30"/>
      <c r="AD208" s="30"/>
      <c r="AE208" s="24"/>
      <c r="AF208" s="24"/>
    </row>
    <row r="209" ht="15.75" customHeight="1">
      <c r="B209" s="18"/>
      <c r="C209" s="18"/>
      <c r="D209" s="18"/>
      <c r="E209" s="18"/>
      <c r="F209" s="19"/>
      <c r="G209" s="27"/>
      <c r="H209" s="27"/>
      <c r="I209" s="27"/>
      <c r="J209" s="27"/>
      <c r="K209" s="21"/>
      <c r="L209" s="27"/>
      <c r="M209" s="27"/>
      <c r="N209" s="27"/>
      <c r="O209" s="27"/>
      <c r="P209" s="21"/>
      <c r="Q209" s="28"/>
      <c r="R209" s="28"/>
      <c r="S209" s="28"/>
      <c r="T209" s="28"/>
      <c r="U209" s="19"/>
      <c r="V209" s="27"/>
      <c r="W209" s="27"/>
      <c r="X209" s="27"/>
      <c r="Y209" s="27"/>
      <c r="Z209" s="19"/>
      <c r="AA209" s="24"/>
      <c r="AB209" s="30"/>
      <c r="AC209" s="30"/>
      <c r="AD209" s="30"/>
      <c r="AE209" s="24"/>
      <c r="AF209" s="24"/>
    </row>
    <row r="210" ht="15.75" customHeight="1">
      <c r="B210" s="18"/>
      <c r="C210" s="18"/>
      <c r="D210" s="18"/>
      <c r="E210" s="18"/>
      <c r="F210" s="19"/>
      <c r="G210" s="27"/>
      <c r="H210" s="27"/>
      <c r="I210" s="27"/>
      <c r="J210" s="27"/>
      <c r="K210" s="21"/>
      <c r="L210" s="27"/>
      <c r="M210" s="27"/>
      <c r="N210" s="27"/>
      <c r="O210" s="27"/>
      <c r="P210" s="21"/>
      <c r="Q210" s="28"/>
      <c r="R210" s="28"/>
      <c r="S210" s="28"/>
      <c r="T210" s="28"/>
      <c r="U210" s="19"/>
      <c r="V210" s="27"/>
      <c r="W210" s="27"/>
      <c r="X210" s="27"/>
      <c r="Y210" s="27"/>
      <c r="Z210" s="19"/>
      <c r="AA210" s="24"/>
      <c r="AB210" s="30"/>
      <c r="AC210" s="30"/>
      <c r="AD210" s="30"/>
      <c r="AE210" s="24"/>
      <c r="AF210" s="24"/>
    </row>
    <row r="211" ht="15.75" customHeight="1">
      <c r="B211" s="18"/>
      <c r="C211" s="18"/>
      <c r="D211" s="18"/>
      <c r="E211" s="18"/>
      <c r="F211" s="19"/>
      <c r="G211" s="27"/>
      <c r="H211" s="27"/>
      <c r="I211" s="27"/>
      <c r="J211" s="27"/>
      <c r="K211" s="21"/>
      <c r="L211" s="27"/>
      <c r="M211" s="27"/>
      <c r="N211" s="27"/>
      <c r="O211" s="27"/>
      <c r="P211" s="21"/>
      <c r="Q211" s="28"/>
      <c r="R211" s="28"/>
      <c r="S211" s="28"/>
      <c r="T211" s="28"/>
      <c r="U211" s="19"/>
      <c r="V211" s="27"/>
      <c r="W211" s="27"/>
      <c r="X211" s="27"/>
      <c r="Y211" s="27"/>
      <c r="Z211" s="19"/>
      <c r="AA211" s="24"/>
      <c r="AB211" s="30"/>
      <c r="AC211" s="30"/>
      <c r="AD211" s="30"/>
      <c r="AE211" s="24"/>
      <c r="AF211" s="24"/>
    </row>
    <row r="212" ht="15.75" customHeight="1">
      <c r="B212" s="18"/>
      <c r="C212" s="18"/>
      <c r="D212" s="18"/>
      <c r="E212" s="18"/>
      <c r="F212" s="19"/>
      <c r="G212" s="27"/>
      <c r="H212" s="27"/>
      <c r="I212" s="27"/>
      <c r="J212" s="27"/>
      <c r="K212" s="21"/>
      <c r="L212" s="27"/>
      <c r="M212" s="27"/>
      <c r="N212" s="27"/>
      <c r="O212" s="27"/>
      <c r="P212" s="21"/>
      <c r="Q212" s="28"/>
      <c r="R212" s="28"/>
      <c r="S212" s="28"/>
      <c r="T212" s="28"/>
      <c r="U212" s="19"/>
      <c r="V212" s="27"/>
      <c r="W212" s="27"/>
      <c r="X212" s="27"/>
      <c r="Y212" s="27"/>
      <c r="Z212" s="19"/>
      <c r="AA212" s="24"/>
      <c r="AB212" s="30"/>
      <c r="AC212" s="30"/>
      <c r="AD212" s="30"/>
      <c r="AE212" s="24"/>
      <c r="AF212" s="24"/>
    </row>
    <row r="213" ht="15.75" customHeight="1">
      <c r="B213" s="18"/>
      <c r="C213" s="18"/>
      <c r="D213" s="18"/>
      <c r="E213" s="18"/>
      <c r="F213" s="19"/>
      <c r="G213" s="27"/>
      <c r="H213" s="27"/>
      <c r="I213" s="27"/>
      <c r="J213" s="27"/>
      <c r="K213" s="21"/>
      <c r="L213" s="27"/>
      <c r="M213" s="27"/>
      <c r="N213" s="27"/>
      <c r="O213" s="27"/>
      <c r="P213" s="21"/>
      <c r="Q213" s="28"/>
      <c r="R213" s="28"/>
      <c r="S213" s="28"/>
      <c r="T213" s="28"/>
      <c r="U213" s="19"/>
      <c r="V213" s="27"/>
      <c r="W213" s="27"/>
      <c r="X213" s="27"/>
      <c r="Y213" s="27"/>
      <c r="Z213" s="19"/>
      <c r="AA213" s="24"/>
      <c r="AB213" s="30"/>
      <c r="AC213" s="30"/>
      <c r="AD213" s="30"/>
      <c r="AE213" s="24"/>
      <c r="AF213" s="24"/>
    </row>
    <row r="214" ht="15.75" customHeight="1">
      <c r="B214" s="18"/>
      <c r="C214" s="18"/>
      <c r="D214" s="18"/>
      <c r="E214" s="18"/>
      <c r="F214" s="19"/>
      <c r="G214" s="27"/>
      <c r="H214" s="27"/>
      <c r="I214" s="27"/>
      <c r="J214" s="27"/>
      <c r="K214" s="21"/>
      <c r="L214" s="27"/>
      <c r="M214" s="27"/>
      <c r="N214" s="27"/>
      <c r="O214" s="27"/>
      <c r="P214" s="21"/>
      <c r="Q214" s="28"/>
      <c r="R214" s="28"/>
      <c r="S214" s="28"/>
      <c r="T214" s="28"/>
      <c r="U214" s="19"/>
      <c r="V214" s="27"/>
      <c r="W214" s="27"/>
      <c r="X214" s="27"/>
      <c r="Y214" s="27"/>
      <c r="Z214" s="19"/>
      <c r="AA214" s="24"/>
      <c r="AB214" s="30"/>
      <c r="AC214" s="30"/>
      <c r="AD214" s="30"/>
      <c r="AE214" s="24"/>
      <c r="AF214" s="24"/>
    </row>
    <row r="215" ht="15.75" customHeight="1">
      <c r="B215" s="18"/>
      <c r="C215" s="18"/>
      <c r="D215" s="18"/>
      <c r="E215" s="18"/>
      <c r="F215" s="19"/>
      <c r="G215" s="27"/>
      <c r="H215" s="27"/>
      <c r="I215" s="27"/>
      <c r="J215" s="27"/>
      <c r="K215" s="21"/>
      <c r="L215" s="27"/>
      <c r="M215" s="27"/>
      <c r="N215" s="27"/>
      <c r="O215" s="27"/>
      <c r="P215" s="21"/>
      <c r="Q215" s="28"/>
      <c r="R215" s="28"/>
      <c r="S215" s="28"/>
      <c r="T215" s="28"/>
      <c r="U215" s="19"/>
      <c r="V215" s="27"/>
      <c r="W215" s="27"/>
      <c r="X215" s="27"/>
      <c r="Y215" s="27"/>
      <c r="Z215" s="19"/>
      <c r="AA215" s="24"/>
      <c r="AB215" s="30"/>
      <c r="AC215" s="30"/>
      <c r="AD215" s="30"/>
      <c r="AE215" s="24"/>
      <c r="AF215" s="24"/>
    </row>
    <row r="216" ht="15.75" customHeight="1">
      <c r="B216" s="18"/>
      <c r="C216" s="18"/>
      <c r="D216" s="18"/>
      <c r="E216" s="18"/>
      <c r="F216" s="19"/>
      <c r="G216" s="27"/>
      <c r="H216" s="27"/>
      <c r="I216" s="27"/>
      <c r="J216" s="27"/>
      <c r="K216" s="21"/>
      <c r="L216" s="27"/>
      <c r="M216" s="27"/>
      <c r="N216" s="27"/>
      <c r="O216" s="27"/>
      <c r="P216" s="21"/>
      <c r="Q216" s="28"/>
      <c r="R216" s="28"/>
      <c r="S216" s="28"/>
      <c r="T216" s="28"/>
      <c r="U216" s="19"/>
      <c r="V216" s="27"/>
      <c r="W216" s="27"/>
      <c r="X216" s="27"/>
      <c r="Y216" s="27"/>
      <c r="Z216" s="19"/>
      <c r="AA216" s="24"/>
      <c r="AB216" s="30"/>
      <c r="AC216" s="30"/>
      <c r="AD216" s="30"/>
      <c r="AE216" s="24"/>
      <c r="AF216" s="24"/>
    </row>
    <row r="217" ht="15.75" customHeight="1">
      <c r="B217" s="18"/>
      <c r="C217" s="18"/>
      <c r="D217" s="18"/>
      <c r="E217" s="18"/>
      <c r="F217" s="19"/>
      <c r="G217" s="27"/>
      <c r="H217" s="27"/>
      <c r="I217" s="27"/>
      <c r="J217" s="27"/>
      <c r="K217" s="21"/>
      <c r="L217" s="27"/>
      <c r="M217" s="27"/>
      <c r="N217" s="27"/>
      <c r="O217" s="27"/>
      <c r="P217" s="21"/>
      <c r="Q217" s="28"/>
      <c r="R217" s="28"/>
      <c r="S217" s="28"/>
      <c r="T217" s="28"/>
      <c r="U217" s="19"/>
      <c r="V217" s="27"/>
      <c r="W217" s="27"/>
      <c r="X217" s="27"/>
      <c r="Y217" s="27"/>
      <c r="Z217" s="19"/>
      <c r="AA217" s="24"/>
      <c r="AB217" s="30"/>
      <c r="AC217" s="30"/>
      <c r="AD217" s="30"/>
      <c r="AE217" s="24"/>
      <c r="AF217" s="24"/>
    </row>
    <row r="218" ht="15.75" customHeight="1">
      <c r="B218" s="18"/>
      <c r="C218" s="18"/>
      <c r="D218" s="18"/>
      <c r="E218" s="18"/>
      <c r="F218" s="19"/>
      <c r="G218" s="27"/>
      <c r="H218" s="27"/>
      <c r="I218" s="27"/>
      <c r="J218" s="27"/>
      <c r="K218" s="21"/>
      <c r="L218" s="27"/>
      <c r="M218" s="27"/>
      <c r="N218" s="27"/>
      <c r="O218" s="27"/>
      <c r="P218" s="21"/>
      <c r="Q218" s="28"/>
      <c r="R218" s="28"/>
      <c r="S218" s="28"/>
      <c r="T218" s="28"/>
      <c r="U218" s="19"/>
      <c r="V218" s="27"/>
      <c r="W218" s="27"/>
      <c r="X218" s="27"/>
      <c r="Y218" s="27"/>
      <c r="Z218" s="19"/>
      <c r="AA218" s="24"/>
      <c r="AB218" s="30"/>
      <c r="AC218" s="30"/>
      <c r="AD218" s="30"/>
      <c r="AE218" s="24"/>
      <c r="AF218" s="24"/>
    </row>
    <row r="219" ht="15.75" customHeight="1">
      <c r="B219" s="18"/>
      <c r="C219" s="18"/>
      <c r="D219" s="18"/>
      <c r="E219" s="18"/>
      <c r="F219" s="19"/>
      <c r="G219" s="27"/>
      <c r="H219" s="27"/>
      <c r="I219" s="27"/>
      <c r="J219" s="27"/>
      <c r="K219" s="21"/>
      <c r="L219" s="27"/>
      <c r="M219" s="27"/>
      <c r="N219" s="27"/>
      <c r="O219" s="27"/>
      <c r="P219" s="21"/>
      <c r="Q219" s="28"/>
      <c r="R219" s="28"/>
      <c r="S219" s="28"/>
      <c r="T219" s="28"/>
      <c r="U219" s="19"/>
      <c r="V219" s="27"/>
      <c r="W219" s="27"/>
      <c r="X219" s="27"/>
      <c r="Y219" s="27"/>
      <c r="Z219" s="19"/>
      <c r="AA219" s="24"/>
      <c r="AB219" s="30"/>
      <c r="AC219" s="30"/>
      <c r="AD219" s="30"/>
      <c r="AE219" s="24"/>
      <c r="AF219" s="24"/>
    </row>
    <row r="220" ht="15.75" customHeight="1">
      <c r="B220" s="18"/>
      <c r="C220" s="18"/>
      <c r="D220" s="18"/>
      <c r="E220" s="18"/>
      <c r="F220" s="19"/>
      <c r="G220" s="27"/>
      <c r="H220" s="27"/>
      <c r="I220" s="27"/>
      <c r="J220" s="27"/>
      <c r="K220" s="21"/>
      <c r="L220" s="27"/>
      <c r="M220" s="27"/>
      <c r="N220" s="27"/>
      <c r="O220" s="27"/>
      <c r="P220" s="21"/>
      <c r="Q220" s="28"/>
      <c r="R220" s="28"/>
      <c r="S220" s="28"/>
      <c r="T220" s="28"/>
      <c r="U220" s="19"/>
      <c r="V220" s="27"/>
      <c r="W220" s="27"/>
      <c r="X220" s="27"/>
      <c r="Y220" s="27"/>
      <c r="Z220" s="19"/>
      <c r="AA220" s="24"/>
      <c r="AB220" s="30"/>
      <c r="AC220" s="30"/>
      <c r="AD220" s="30"/>
      <c r="AE220" s="24"/>
      <c r="AF220" s="24"/>
    </row>
    <row r="221" ht="15.75" customHeight="1">
      <c r="B221" s="18"/>
      <c r="C221" s="18"/>
      <c r="D221" s="18"/>
      <c r="E221" s="18"/>
      <c r="F221" s="19"/>
      <c r="G221" s="27"/>
      <c r="H221" s="27"/>
      <c r="I221" s="27"/>
      <c r="J221" s="27"/>
      <c r="K221" s="21"/>
      <c r="L221" s="27"/>
      <c r="M221" s="27"/>
      <c r="N221" s="27"/>
      <c r="O221" s="27"/>
      <c r="P221" s="21"/>
      <c r="Q221" s="28"/>
      <c r="R221" s="28"/>
      <c r="S221" s="28"/>
      <c r="T221" s="28"/>
      <c r="U221" s="19"/>
      <c r="V221" s="27"/>
      <c r="W221" s="27"/>
      <c r="X221" s="27"/>
      <c r="Y221" s="27"/>
      <c r="Z221" s="19"/>
      <c r="AA221" s="24"/>
      <c r="AB221" s="30"/>
      <c r="AC221" s="30"/>
      <c r="AD221" s="30"/>
      <c r="AE221" s="24"/>
      <c r="AF221" s="24"/>
    </row>
    <row r="222" ht="15.75" customHeight="1">
      <c r="B222" s="18"/>
      <c r="C222" s="18"/>
      <c r="D222" s="18"/>
      <c r="E222" s="18"/>
      <c r="F222" s="19"/>
      <c r="G222" s="27"/>
      <c r="H222" s="27"/>
      <c r="I222" s="27"/>
      <c r="J222" s="27"/>
      <c r="K222" s="21"/>
      <c r="L222" s="27"/>
      <c r="M222" s="27"/>
      <c r="N222" s="27"/>
      <c r="O222" s="27"/>
      <c r="P222" s="21"/>
      <c r="Q222" s="28"/>
      <c r="R222" s="28"/>
      <c r="S222" s="28"/>
      <c r="T222" s="28"/>
      <c r="U222" s="19"/>
      <c r="V222" s="27"/>
      <c r="W222" s="27"/>
      <c r="X222" s="27"/>
      <c r="Y222" s="27"/>
      <c r="Z222" s="19"/>
      <c r="AA222" s="24"/>
      <c r="AB222" s="30"/>
      <c r="AC222" s="30"/>
      <c r="AD222" s="30"/>
      <c r="AE222" s="24"/>
      <c r="AF222" s="24"/>
    </row>
    <row r="223" ht="15.75" customHeight="1">
      <c r="B223" s="18"/>
      <c r="C223" s="18"/>
      <c r="D223" s="18"/>
      <c r="E223" s="18"/>
      <c r="F223" s="19"/>
      <c r="G223" s="27"/>
      <c r="H223" s="27"/>
      <c r="I223" s="27"/>
      <c r="J223" s="27"/>
      <c r="K223" s="21"/>
      <c r="L223" s="27"/>
      <c r="M223" s="27"/>
      <c r="N223" s="27"/>
      <c r="O223" s="27"/>
      <c r="P223" s="21"/>
      <c r="Q223" s="28"/>
      <c r="R223" s="28"/>
      <c r="S223" s="28"/>
      <c r="T223" s="28"/>
      <c r="U223" s="19"/>
      <c r="V223" s="27"/>
      <c r="W223" s="27"/>
      <c r="X223" s="27"/>
      <c r="Y223" s="27"/>
      <c r="Z223" s="19"/>
      <c r="AA223" s="24"/>
      <c r="AB223" s="30"/>
      <c r="AC223" s="30"/>
      <c r="AD223" s="30"/>
      <c r="AE223" s="24"/>
      <c r="AF223" s="24"/>
    </row>
    <row r="224" ht="15.75" customHeight="1">
      <c r="B224" s="18"/>
      <c r="C224" s="18"/>
      <c r="D224" s="18"/>
      <c r="E224" s="18"/>
      <c r="F224" s="19"/>
      <c r="G224" s="27"/>
      <c r="H224" s="27"/>
      <c r="I224" s="27"/>
      <c r="J224" s="27"/>
      <c r="K224" s="21"/>
      <c r="L224" s="27"/>
      <c r="M224" s="27"/>
      <c r="N224" s="27"/>
      <c r="O224" s="27"/>
      <c r="P224" s="21"/>
      <c r="Q224" s="28"/>
      <c r="R224" s="28"/>
      <c r="S224" s="28"/>
      <c r="T224" s="28"/>
      <c r="U224" s="19"/>
      <c r="V224" s="27"/>
      <c r="W224" s="27"/>
      <c r="X224" s="27"/>
      <c r="Y224" s="27"/>
      <c r="Z224" s="19"/>
      <c r="AA224" s="24"/>
      <c r="AB224" s="30"/>
      <c r="AC224" s="30"/>
      <c r="AD224" s="30"/>
      <c r="AE224" s="24"/>
      <c r="AF224" s="24"/>
    </row>
    <row r="225" ht="15.75" customHeight="1">
      <c r="B225" s="18"/>
      <c r="C225" s="18"/>
      <c r="D225" s="18"/>
      <c r="E225" s="18"/>
      <c r="F225" s="19"/>
      <c r="G225" s="27"/>
      <c r="H225" s="27"/>
      <c r="I225" s="27"/>
      <c r="J225" s="27"/>
      <c r="K225" s="21"/>
      <c r="L225" s="27"/>
      <c r="M225" s="27"/>
      <c r="N225" s="27"/>
      <c r="O225" s="27"/>
      <c r="P225" s="21"/>
      <c r="Q225" s="28"/>
      <c r="R225" s="28"/>
      <c r="S225" s="28"/>
      <c r="T225" s="28"/>
      <c r="U225" s="19"/>
      <c r="V225" s="27"/>
      <c r="W225" s="27"/>
      <c r="X225" s="27"/>
      <c r="Y225" s="27"/>
      <c r="Z225" s="19"/>
      <c r="AA225" s="24"/>
      <c r="AB225" s="30"/>
      <c r="AC225" s="30"/>
      <c r="AD225" s="30"/>
      <c r="AE225" s="24"/>
      <c r="AF225" s="24"/>
    </row>
    <row r="226" ht="15.75" customHeight="1">
      <c r="B226" s="18"/>
      <c r="C226" s="18"/>
      <c r="D226" s="18"/>
      <c r="E226" s="18"/>
      <c r="F226" s="19"/>
      <c r="G226" s="27"/>
      <c r="H226" s="27"/>
      <c r="I226" s="27"/>
      <c r="J226" s="27"/>
      <c r="K226" s="21"/>
      <c r="L226" s="27"/>
      <c r="M226" s="27"/>
      <c r="N226" s="27"/>
      <c r="O226" s="27"/>
      <c r="P226" s="21"/>
      <c r="Q226" s="28"/>
      <c r="R226" s="28"/>
      <c r="S226" s="28"/>
      <c r="T226" s="28"/>
      <c r="U226" s="19"/>
      <c r="V226" s="27"/>
      <c r="W226" s="27"/>
      <c r="X226" s="27"/>
      <c r="Y226" s="27"/>
      <c r="Z226" s="19"/>
      <c r="AA226" s="24"/>
      <c r="AB226" s="30"/>
      <c r="AC226" s="30"/>
      <c r="AD226" s="30"/>
      <c r="AE226" s="24"/>
      <c r="AF226" s="24"/>
    </row>
    <row r="227" ht="15.75" customHeight="1">
      <c r="B227" s="18"/>
      <c r="C227" s="18"/>
      <c r="D227" s="18"/>
      <c r="E227" s="18"/>
      <c r="F227" s="19"/>
      <c r="G227" s="27"/>
      <c r="H227" s="27"/>
      <c r="I227" s="27"/>
      <c r="J227" s="27"/>
      <c r="K227" s="21"/>
      <c r="L227" s="27"/>
      <c r="M227" s="27"/>
      <c r="N227" s="27"/>
      <c r="O227" s="27"/>
      <c r="P227" s="21"/>
      <c r="Q227" s="28"/>
      <c r="R227" s="28"/>
      <c r="S227" s="28"/>
      <c r="T227" s="28"/>
      <c r="U227" s="19"/>
      <c r="V227" s="27"/>
      <c r="W227" s="27"/>
      <c r="X227" s="27"/>
      <c r="Y227" s="27"/>
      <c r="Z227" s="19"/>
      <c r="AA227" s="24"/>
      <c r="AB227" s="30"/>
      <c r="AC227" s="30"/>
      <c r="AD227" s="30"/>
      <c r="AE227" s="24"/>
      <c r="AF227" s="24"/>
    </row>
    <row r="228" ht="15.75" customHeight="1">
      <c r="B228" s="18"/>
      <c r="C228" s="18"/>
      <c r="D228" s="18"/>
      <c r="E228" s="18"/>
      <c r="F228" s="19"/>
      <c r="G228" s="27"/>
      <c r="H228" s="27"/>
      <c r="I228" s="27"/>
      <c r="J228" s="27"/>
      <c r="K228" s="21"/>
      <c r="L228" s="27"/>
      <c r="M228" s="27"/>
      <c r="N228" s="27"/>
      <c r="O228" s="27"/>
      <c r="P228" s="21"/>
      <c r="Q228" s="28"/>
      <c r="R228" s="28"/>
      <c r="S228" s="28"/>
      <c r="T228" s="28"/>
      <c r="U228" s="19"/>
      <c r="V228" s="27"/>
      <c r="W228" s="27"/>
      <c r="X228" s="27"/>
      <c r="Y228" s="27"/>
      <c r="Z228" s="19"/>
      <c r="AA228" s="24"/>
      <c r="AB228" s="30"/>
      <c r="AC228" s="30"/>
      <c r="AD228" s="30"/>
      <c r="AE228" s="24"/>
      <c r="AF228" s="24"/>
    </row>
    <row r="229" ht="15.75" customHeight="1">
      <c r="B229" s="18"/>
      <c r="C229" s="18"/>
      <c r="D229" s="18"/>
      <c r="E229" s="18"/>
      <c r="F229" s="19"/>
      <c r="G229" s="27"/>
      <c r="H229" s="27"/>
      <c r="I229" s="27"/>
      <c r="J229" s="27"/>
      <c r="K229" s="21"/>
      <c r="L229" s="27"/>
      <c r="M229" s="27"/>
      <c r="N229" s="27"/>
      <c r="O229" s="27"/>
      <c r="P229" s="21"/>
      <c r="Q229" s="28"/>
      <c r="R229" s="28"/>
      <c r="S229" s="28"/>
      <c r="T229" s="28"/>
      <c r="U229" s="19"/>
      <c r="V229" s="27"/>
      <c r="W229" s="27"/>
      <c r="X229" s="27"/>
      <c r="Y229" s="27"/>
      <c r="Z229" s="19"/>
      <c r="AA229" s="24"/>
      <c r="AB229" s="30"/>
      <c r="AC229" s="30"/>
      <c r="AD229" s="30"/>
      <c r="AE229" s="24"/>
      <c r="AF229" s="24"/>
    </row>
    <row r="230" ht="15.75" customHeight="1">
      <c r="B230" s="18"/>
      <c r="C230" s="18"/>
      <c r="D230" s="18"/>
      <c r="E230" s="18"/>
      <c r="F230" s="19"/>
      <c r="G230" s="27"/>
      <c r="H230" s="27"/>
      <c r="I230" s="27"/>
      <c r="J230" s="27"/>
      <c r="K230" s="21"/>
      <c r="L230" s="27"/>
      <c r="M230" s="27"/>
      <c r="N230" s="27"/>
      <c r="O230" s="27"/>
      <c r="P230" s="21"/>
      <c r="Q230" s="28"/>
      <c r="R230" s="28"/>
      <c r="S230" s="28"/>
      <c r="T230" s="28"/>
      <c r="U230" s="19"/>
      <c r="V230" s="27"/>
      <c r="W230" s="27"/>
      <c r="X230" s="27"/>
      <c r="Y230" s="27"/>
      <c r="Z230" s="19"/>
      <c r="AA230" s="24"/>
      <c r="AB230" s="30"/>
      <c r="AC230" s="30"/>
      <c r="AD230" s="30"/>
      <c r="AE230" s="24"/>
      <c r="AF230" s="24"/>
    </row>
    <row r="231" ht="15.75" customHeight="1">
      <c r="B231" s="18"/>
      <c r="C231" s="18"/>
      <c r="D231" s="18"/>
      <c r="E231" s="18"/>
      <c r="F231" s="19"/>
      <c r="G231" s="27"/>
      <c r="H231" s="27"/>
      <c r="I231" s="27"/>
      <c r="J231" s="27"/>
      <c r="K231" s="21"/>
      <c r="L231" s="27"/>
      <c r="M231" s="27"/>
      <c r="N231" s="27"/>
      <c r="O231" s="27"/>
      <c r="P231" s="21"/>
      <c r="Q231" s="28"/>
      <c r="R231" s="28"/>
      <c r="S231" s="28"/>
      <c r="T231" s="28"/>
      <c r="U231" s="19"/>
      <c r="V231" s="27"/>
      <c r="W231" s="27"/>
      <c r="X231" s="27"/>
      <c r="Y231" s="27"/>
      <c r="Z231" s="19"/>
      <c r="AA231" s="24"/>
      <c r="AB231" s="30"/>
      <c r="AC231" s="30"/>
      <c r="AD231" s="30"/>
      <c r="AE231" s="24"/>
      <c r="AF231" s="24"/>
    </row>
    <row r="232" ht="15.75" customHeight="1">
      <c r="B232" s="18"/>
      <c r="C232" s="18"/>
      <c r="D232" s="18"/>
      <c r="E232" s="18"/>
      <c r="F232" s="19"/>
      <c r="G232" s="27"/>
      <c r="H232" s="27"/>
      <c r="I232" s="27"/>
      <c r="J232" s="27"/>
      <c r="K232" s="21"/>
      <c r="L232" s="27"/>
      <c r="M232" s="27"/>
      <c r="N232" s="27"/>
      <c r="O232" s="27"/>
      <c r="P232" s="21"/>
      <c r="Q232" s="28"/>
      <c r="R232" s="28"/>
      <c r="S232" s="28"/>
      <c r="T232" s="28"/>
      <c r="U232" s="19"/>
      <c r="V232" s="27"/>
      <c r="W232" s="27"/>
      <c r="X232" s="27"/>
      <c r="Y232" s="27"/>
      <c r="Z232" s="19"/>
      <c r="AA232" s="24"/>
      <c r="AB232" s="30"/>
      <c r="AC232" s="30"/>
      <c r="AD232" s="30"/>
      <c r="AE232" s="24"/>
      <c r="AF232" s="24"/>
    </row>
    <row r="233" ht="15.75" customHeight="1">
      <c r="B233" s="18"/>
      <c r="C233" s="18"/>
      <c r="D233" s="18"/>
      <c r="E233" s="18"/>
      <c r="F233" s="19"/>
      <c r="G233" s="27"/>
      <c r="H233" s="27"/>
      <c r="I233" s="27"/>
      <c r="J233" s="27"/>
      <c r="K233" s="21"/>
      <c r="L233" s="27"/>
      <c r="M233" s="27"/>
      <c r="N233" s="27"/>
      <c r="O233" s="27"/>
      <c r="P233" s="21"/>
      <c r="Q233" s="28"/>
      <c r="R233" s="28"/>
      <c r="S233" s="28"/>
      <c r="T233" s="28"/>
      <c r="U233" s="19"/>
      <c r="V233" s="27"/>
      <c r="W233" s="27"/>
      <c r="X233" s="27"/>
      <c r="Y233" s="27"/>
      <c r="Z233" s="19"/>
      <c r="AA233" s="24"/>
      <c r="AB233" s="30"/>
      <c r="AC233" s="30"/>
      <c r="AD233" s="30"/>
      <c r="AE233" s="24"/>
      <c r="AF233" s="24"/>
    </row>
    <row r="234" ht="15.75" customHeight="1">
      <c r="B234" s="18"/>
      <c r="C234" s="18"/>
      <c r="D234" s="18"/>
      <c r="E234" s="18"/>
      <c r="F234" s="19"/>
      <c r="G234" s="27"/>
      <c r="H234" s="27"/>
      <c r="I234" s="27"/>
      <c r="J234" s="27"/>
      <c r="K234" s="21"/>
      <c r="L234" s="27"/>
      <c r="M234" s="27"/>
      <c r="N234" s="27"/>
      <c r="O234" s="27"/>
      <c r="P234" s="21"/>
      <c r="Q234" s="28"/>
      <c r="R234" s="28"/>
      <c r="S234" s="28"/>
      <c r="T234" s="28"/>
      <c r="U234" s="19"/>
      <c r="V234" s="27"/>
      <c r="W234" s="27"/>
      <c r="X234" s="27"/>
      <c r="Y234" s="27"/>
      <c r="Z234" s="19"/>
      <c r="AA234" s="24"/>
      <c r="AB234" s="30"/>
      <c r="AC234" s="30"/>
      <c r="AD234" s="30"/>
      <c r="AE234" s="24"/>
      <c r="AF234" s="24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39" width="18.13"/>
  </cols>
  <sheetData>
    <row r="1" ht="15.75" customHeight="1">
      <c r="A1" s="1" t="s">
        <v>0</v>
      </c>
      <c r="B1" s="3"/>
      <c r="C1" s="3"/>
      <c r="D1" s="3" t="s">
        <v>1</v>
      </c>
      <c r="E1" s="3"/>
      <c r="F1" s="3"/>
      <c r="G1" s="4"/>
      <c r="H1" s="5"/>
      <c r="I1" s="5"/>
      <c r="J1" s="5" t="s">
        <v>2</v>
      </c>
      <c r="K1" s="5"/>
      <c r="L1" s="5"/>
      <c r="M1" s="6"/>
      <c r="N1" s="5"/>
      <c r="O1" s="5"/>
      <c r="P1" s="5" t="s">
        <v>3</v>
      </c>
      <c r="Q1" s="5"/>
      <c r="R1" s="5"/>
      <c r="S1" s="6"/>
      <c r="T1" s="7"/>
      <c r="U1" s="7"/>
      <c r="V1" s="7"/>
      <c r="W1" s="7" t="s">
        <v>4</v>
      </c>
      <c r="X1" s="7"/>
      <c r="Y1" s="4"/>
      <c r="Z1" s="3"/>
      <c r="AA1" s="31"/>
      <c r="AB1" s="31" t="s">
        <v>5</v>
      </c>
      <c r="AC1" s="31"/>
      <c r="AD1" s="31"/>
      <c r="AE1" s="4"/>
      <c r="AF1" s="31"/>
      <c r="AG1" s="31"/>
      <c r="AH1" s="8"/>
      <c r="AI1" s="9"/>
      <c r="AJ1" s="9"/>
      <c r="AK1" s="9"/>
      <c r="AL1" s="8"/>
      <c r="AM1" s="8"/>
    </row>
    <row r="2" ht="15.75" customHeight="1">
      <c r="A2" s="10" t="s">
        <v>6</v>
      </c>
      <c r="B2" s="11" t="s">
        <v>32</v>
      </c>
      <c r="C2" s="11" t="s">
        <v>33</v>
      </c>
      <c r="D2" s="11" t="s">
        <v>34</v>
      </c>
      <c r="E2" s="11" t="s">
        <v>35</v>
      </c>
      <c r="F2" s="11" t="s">
        <v>36</v>
      </c>
      <c r="G2" s="4"/>
      <c r="H2" s="12" t="s">
        <v>37</v>
      </c>
      <c r="I2" s="12" t="s">
        <v>38</v>
      </c>
      <c r="J2" s="12" t="s">
        <v>39</v>
      </c>
      <c r="K2" s="12" t="s">
        <v>40</v>
      </c>
      <c r="L2" s="12" t="s">
        <v>41</v>
      </c>
      <c r="M2" s="6"/>
      <c r="N2" s="12" t="s">
        <v>42</v>
      </c>
      <c r="O2" s="12" t="s">
        <v>43</v>
      </c>
      <c r="P2" s="12" t="s">
        <v>44</v>
      </c>
      <c r="Q2" s="12" t="s">
        <v>45</v>
      </c>
      <c r="R2" s="12" t="s">
        <v>46</v>
      </c>
      <c r="S2" s="6"/>
      <c r="T2" s="12" t="s">
        <v>47</v>
      </c>
      <c r="U2" s="12" t="s">
        <v>48</v>
      </c>
      <c r="V2" s="12" t="s">
        <v>49</v>
      </c>
      <c r="W2" s="12" t="s">
        <v>50</v>
      </c>
      <c r="X2" s="12" t="s">
        <v>51</v>
      </c>
      <c r="Y2" s="4"/>
      <c r="Z2" s="11" t="s">
        <v>52</v>
      </c>
      <c r="AA2" s="13" t="s">
        <v>53</v>
      </c>
      <c r="AB2" s="13" t="s">
        <v>54</v>
      </c>
      <c r="AC2" s="13" t="s">
        <v>55</v>
      </c>
      <c r="AD2" s="13" t="s">
        <v>56</v>
      </c>
      <c r="AE2" s="4"/>
      <c r="AF2" s="10"/>
      <c r="AG2" s="10"/>
      <c r="AH2" s="14" t="s">
        <v>27</v>
      </c>
      <c r="AI2" s="15" t="s">
        <v>28</v>
      </c>
      <c r="AJ2" s="15" t="s">
        <v>29</v>
      </c>
      <c r="AK2" s="15" t="s">
        <v>30</v>
      </c>
      <c r="AL2" s="14" t="s">
        <v>31</v>
      </c>
      <c r="AM2" s="14" t="s">
        <v>5</v>
      </c>
    </row>
    <row r="3" ht="15.75" customHeight="1">
      <c r="A3" s="16">
        <v>35.0</v>
      </c>
      <c r="B3" s="18">
        <v>62.2</v>
      </c>
      <c r="C3" s="18">
        <v>114.0</v>
      </c>
      <c r="D3" s="18">
        <v>0.0</v>
      </c>
      <c r="E3" s="18">
        <v>0.0</v>
      </c>
      <c r="F3" s="18">
        <v>37.4</v>
      </c>
      <c r="G3" s="19"/>
      <c r="H3" s="27">
        <v>94.0</v>
      </c>
      <c r="I3" s="27">
        <v>169.0</v>
      </c>
      <c r="J3" s="27">
        <v>0.0</v>
      </c>
      <c r="K3" s="27">
        <v>0.0</v>
      </c>
      <c r="L3" s="27">
        <v>111.0</v>
      </c>
      <c r="M3" s="21"/>
      <c r="N3" s="27">
        <v>59.0</v>
      </c>
      <c r="O3" s="27">
        <v>109.0</v>
      </c>
      <c r="P3" s="27">
        <v>0.0</v>
      </c>
      <c r="Q3" s="27">
        <v>0.0</v>
      </c>
      <c r="R3" s="27">
        <v>48.0</v>
      </c>
      <c r="S3" s="21"/>
      <c r="T3" s="28">
        <f t="shared" ref="T3:X3" si="1">if(H3&gt;0, N3/H3,"No installs")</f>
        <v>0.6276595745</v>
      </c>
      <c r="U3" s="28">
        <f t="shared" si="1"/>
        <v>0.6449704142</v>
      </c>
      <c r="V3" s="28" t="str">
        <f t="shared" si="1"/>
        <v>No installs</v>
      </c>
      <c r="W3" s="28" t="str">
        <f t="shared" si="1"/>
        <v>No installs</v>
      </c>
      <c r="X3" s="28">
        <f t="shared" si="1"/>
        <v>0.4324324324</v>
      </c>
      <c r="Y3" s="19"/>
      <c r="Z3" s="29">
        <f t="shared" ref="Z3:AD3" si="2">if(N3&gt;0,B3/N3,"No SignUps")</f>
        <v>1.054237288</v>
      </c>
      <c r="AA3" s="29">
        <f t="shared" si="2"/>
        <v>1.04587156</v>
      </c>
      <c r="AB3" s="29" t="str">
        <f t="shared" si="2"/>
        <v>No SignUps</v>
      </c>
      <c r="AC3" s="29" t="str">
        <f t="shared" si="2"/>
        <v>No SignUps</v>
      </c>
      <c r="AD3" s="29">
        <f t="shared" si="2"/>
        <v>0.7791666667</v>
      </c>
      <c r="AE3" s="19"/>
      <c r="AF3" s="16"/>
      <c r="AG3" s="16"/>
      <c r="AH3" s="24">
        <f t="shared" ref="AH3:AH24" si="5">SUM(B3:F3)</f>
        <v>213.6</v>
      </c>
      <c r="AI3" s="25">
        <f t="shared" ref="AI3:AI23" si="6">sum(H3:L3)</f>
        <v>374</v>
      </c>
      <c r="AJ3" s="25">
        <f t="shared" ref="AJ3:AJ23" si="7">sum(N3:R3)</f>
        <v>216</v>
      </c>
      <c r="AK3" s="26">
        <f t="shared" ref="AK3:AK23" si="8">AJ3/AI3</f>
        <v>0.577540107</v>
      </c>
      <c r="AL3" s="24">
        <f t="shared" ref="AL3:AL23" si="9">AH3/AI3</f>
        <v>0.5711229947</v>
      </c>
      <c r="AM3" s="24">
        <f t="shared" ref="AM3:AM23" si="10">AH3/AJ3</f>
        <v>0.9888888889</v>
      </c>
    </row>
    <row r="4" ht="15.75" customHeight="1">
      <c r="A4" s="16">
        <v>36.0</v>
      </c>
      <c r="B4" s="18">
        <v>648.0</v>
      </c>
      <c r="C4" s="18">
        <v>363.4</v>
      </c>
      <c r="D4" s="18">
        <v>19.6</v>
      </c>
      <c r="E4" s="18">
        <v>146.2</v>
      </c>
      <c r="F4" s="18">
        <v>160.8</v>
      </c>
      <c r="G4" s="19"/>
      <c r="H4" s="27">
        <v>954.0</v>
      </c>
      <c r="I4" s="27">
        <v>500.0</v>
      </c>
      <c r="J4" s="27">
        <v>35.0</v>
      </c>
      <c r="K4" s="27">
        <v>543.0</v>
      </c>
      <c r="L4" s="27">
        <v>410.0</v>
      </c>
      <c r="M4" s="21"/>
      <c r="N4" s="27">
        <f>294+423</f>
        <v>717</v>
      </c>
      <c r="O4" s="27">
        <f>4+142+173+18</f>
        <v>337</v>
      </c>
      <c r="P4" s="27">
        <f>15+7</f>
        <v>22</v>
      </c>
      <c r="Q4" s="27">
        <f>33+256</f>
        <v>289</v>
      </c>
      <c r="R4" s="27">
        <v>182.0</v>
      </c>
      <c r="S4" s="21"/>
      <c r="T4" s="28">
        <f t="shared" ref="T4:X4" si="3">if(H4&gt;0, N4/H4,"No installs")</f>
        <v>0.751572327</v>
      </c>
      <c r="U4" s="28">
        <f t="shared" si="3"/>
        <v>0.674</v>
      </c>
      <c r="V4" s="28">
        <f t="shared" si="3"/>
        <v>0.6285714286</v>
      </c>
      <c r="W4" s="28">
        <f t="shared" si="3"/>
        <v>0.532228361</v>
      </c>
      <c r="X4" s="28">
        <f t="shared" si="3"/>
        <v>0.443902439</v>
      </c>
      <c r="Y4" s="19"/>
      <c r="Z4" s="29">
        <f t="shared" ref="Z4:AD4" si="4">if(N4&gt;0,B4/N4,"No SignUps")</f>
        <v>0.9037656904</v>
      </c>
      <c r="AA4" s="29">
        <f t="shared" si="4"/>
        <v>1.078338279</v>
      </c>
      <c r="AB4" s="29">
        <f t="shared" si="4"/>
        <v>0.8909090909</v>
      </c>
      <c r="AC4" s="29">
        <f t="shared" si="4"/>
        <v>0.5058823529</v>
      </c>
      <c r="AD4" s="29">
        <f t="shared" si="4"/>
        <v>0.8835164835</v>
      </c>
      <c r="AE4" s="19"/>
      <c r="AF4" s="16"/>
      <c r="AG4" s="16"/>
      <c r="AH4" s="24">
        <f t="shared" si="5"/>
        <v>1338</v>
      </c>
      <c r="AI4" s="25">
        <f t="shared" si="6"/>
        <v>2442</v>
      </c>
      <c r="AJ4" s="25">
        <f t="shared" si="7"/>
        <v>1547</v>
      </c>
      <c r="AK4" s="26">
        <f t="shared" si="8"/>
        <v>0.6334971335</v>
      </c>
      <c r="AL4" s="24">
        <f t="shared" si="9"/>
        <v>0.5479115479</v>
      </c>
      <c r="AM4" s="24">
        <f t="shared" si="10"/>
        <v>0.8648998061</v>
      </c>
    </row>
    <row r="5" ht="15.75" customHeight="1">
      <c r="A5" s="16">
        <v>37.0</v>
      </c>
      <c r="B5" s="18">
        <v>511.2</v>
      </c>
      <c r="C5" s="18">
        <v>280.8</v>
      </c>
      <c r="D5" s="18">
        <v>34.8</v>
      </c>
      <c r="E5" s="18">
        <v>179.8</v>
      </c>
      <c r="F5" s="18">
        <v>184.4</v>
      </c>
      <c r="G5" s="19"/>
      <c r="H5" s="27">
        <v>774.0</v>
      </c>
      <c r="I5" s="27">
        <v>329.0</v>
      </c>
      <c r="J5" s="27">
        <v>43.0</v>
      </c>
      <c r="K5" s="27">
        <v>613.0</v>
      </c>
      <c r="L5" s="27">
        <v>371.0</v>
      </c>
      <c r="M5" s="21"/>
      <c r="N5" s="27">
        <v>627.0</v>
      </c>
      <c r="O5" s="27">
        <f>113+108+2</f>
        <v>223</v>
      </c>
      <c r="P5" s="27">
        <f>26+8</f>
        <v>34</v>
      </c>
      <c r="Q5" s="27">
        <f>2+1+2+252+26+70+1+2</f>
        <v>356</v>
      </c>
      <c r="R5" s="27">
        <f>39+138</f>
        <v>177</v>
      </c>
      <c r="S5" s="21"/>
      <c r="T5" s="28">
        <f t="shared" ref="T5:X5" si="11">if(H5&gt;0, N5/H5,"No installs")</f>
        <v>0.8100775194</v>
      </c>
      <c r="U5" s="28">
        <f t="shared" si="11"/>
        <v>0.6778115502</v>
      </c>
      <c r="V5" s="28">
        <f t="shared" si="11"/>
        <v>0.7906976744</v>
      </c>
      <c r="W5" s="28">
        <f t="shared" si="11"/>
        <v>0.5807504078</v>
      </c>
      <c r="X5" s="28">
        <f t="shared" si="11"/>
        <v>0.4770889488</v>
      </c>
      <c r="Y5" s="19"/>
      <c r="Z5" s="29">
        <f t="shared" ref="Z5:AD5" si="12">if(N5&gt;0,B5/N5,"No SignUps")</f>
        <v>0.8153110048</v>
      </c>
      <c r="AA5" s="29">
        <f t="shared" si="12"/>
        <v>1.259192825</v>
      </c>
      <c r="AB5" s="29">
        <f t="shared" si="12"/>
        <v>1.023529412</v>
      </c>
      <c r="AC5" s="29">
        <f t="shared" si="12"/>
        <v>0.5050561798</v>
      </c>
      <c r="AD5" s="29">
        <f t="shared" si="12"/>
        <v>1.04180791</v>
      </c>
      <c r="AE5" s="19"/>
      <c r="AF5" s="16"/>
      <c r="AG5" s="16"/>
      <c r="AH5" s="24">
        <f t="shared" si="5"/>
        <v>1191</v>
      </c>
      <c r="AI5" s="25">
        <f t="shared" si="6"/>
        <v>2130</v>
      </c>
      <c r="AJ5" s="25">
        <f t="shared" si="7"/>
        <v>1417</v>
      </c>
      <c r="AK5" s="26">
        <f t="shared" si="8"/>
        <v>0.665258216</v>
      </c>
      <c r="AL5" s="24">
        <f t="shared" si="9"/>
        <v>0.5591549296</v>
      </c>
      <c r="AM5" s="24">
        <f t="shared" si="10"/>
        <v>0.8405081157</v>
      </c>
    </row>
    <row r="6" ht="15.75" customHeight="1">
      <c r="A6" s="16">
        <v>38.0</v>
      </c>
      <c r="B6" s="18">
        <v>315.4</v>
      </c>
      <c r="C6" s="18">
        <v>263.8</v>
      </c>
      <c r="D6" s="18">
        <v>30.8</v>
      </c>
      <c r="E6" s="18">
        <v>350.2</v>
      </c>
      <c r="F6" s="18">
        <v>167.4</v>
      </c>
      <c r="G6" s="19"/>
      <c r="H6" s="27">
        <v>446.0</v>
      </c>
      <c r="I6" s="27">
        <v>405.0</v>
      </c>
      <c r="J6" s="27">
        <v>40.0</v>
      </c>
      <c r="K6" s="27">
        <v>959.0</v>
      </c>
      <c r="L6" s="27">
        <v>234.0</v>
      </c>
      <c r="M6" s="21"/>
      <c r="N6" s="27">
        <f>371+2</f>
        <v>373</v>
      </c>
      <c r="O6" s="27">
        <f>50+242+1+1+1</f>
        <v>295</v>
      </c>
      <c r="P6" s="27">
        <v>29.0</v>
      </c>
      <c r="Q6" s="27">
        <v>397.0</v>
      </c>
      <c r="R6" s="27">
        <v>120.0</v>
      </c>
      <c r="S6" s="21"/>
      <c r="T6" s="28">
        <f t="shared" ref="T6:X6" si="13">if(H6&gt;0, N6/H6,"No installs")</f>
        <v>0.83632287</v>
      </c>
      <c r="U6" s="28">
        <f t="shared" si="13"/>
        <v>0.7283950617</v>
      </c>
      <c r="V6" s="28">
        <f t="shared" si="13"/>
        <v>0.725</v>
      </c>
      <c r="W6" s="28">
        <f t="shared" si="13"/>
        <v>0.4139728884</v>
      </c>
      <c r="X6" s="28">
        <f t="shared" si="13"/>
        <v>0.5128205128</v>
      </c>
      <c r="Y6" s="19"/>
      <c r="Z6" s="29">
        <f t="shared" ref="Z6:AD6" si="14">if(N6&gt;0,B6/N6,"No SignUps")</f>
        <v>0.8455764075</v>
      </c>
      <c r="AA6" s="29">
        <f t="shared" si="14"/>
        <v>0.8942372881</v>
      </c>
      <c r="AB6" s="29">
        <f t="shared" si="14"/>
        <v>1.062068966</v>
      </c>
      <c r="AC6" s="29">
        <f t="shared" si="14"/>
        <v>0.882115869</v>
      </c>
      <c r="AD6" s="29">
        <f t="shared" si="14"/>
        <v>1.395</v>
      </c>
      <c r="AE6" s="19"/>
      <c r="AF6" s="16"/>
      <c r="AG6" s="16"/>
      <c r="AH6" s="24">
        <f t="shared" si="5"/>
        <v>1127.6</v>
      </c>
      <c r="AI6" s="25">
        <f t="shared" si="6"/>
        <v>2084</v>
      </c>
      <c r="AJ6" s="25">
        <f t="shared" si="7"/>
        <v>1214</v>
      </c>
      <c r="AK6" s="26">
        <f t="shared" si="8"/>
        <v>0.5825335893</v>
      </c>
      <c r="AL6" s="24">
        <f t="shared" si="9"/>
        <v>0.541074856</v>
      </c>
      <c r="AM6" s="24">
        <f t="shared" si="10"/>
        <v>0.928830313</v>
      </c>
    </row>
    <row r="7" ht="15.75" customHeight="1">
      <c r="A7" s="16">
        <v>39.0</v>
      </c>
      <c r="B7" s="18">
        <v>285.0</v>
      </c>
      <c r="C7" s="18">
        <v>143.0</v>
      </c>
      <c r="D7" s="18">
        <v>28.2</v>
      </c>
      <c r="E7" s="18">
        <v>371.0</v>
      </c>
      <c r="F7" s="18">
        <v>190.0</v>
      </c>
      <c r="G7" s="19"/>
      <c r="H7" s="27">
        <v>420.0</v>
      </c>
      <c r="I7" s="27">
        <v>217.0</v>
      </c>
      <c r="J7" s="27">
        <v>36.0</v>
      </c>
      <c r="K7" s="27">
        <v>1107.0</v>
      </c>
      <c r="L7" s="27">
        <v>298.0</v>
      </c>
      <c r="M7" s="21"/>
      <c r="N7" s="27">
        <v>337.0</v>
      </c>
      <c r="O7" s="27">
        <v>173.0</v>
      </c>
      <c r="P7" s="27">
        <v>30.0</v>
      </c>
      <c r="Q7" s="27">
        <v>578.0</v>
      </c>
      <c r="R7" s="27">
        <v>149.0</v>
      </c>
      <c r="S7" s="21"/>
      <c r="T7" s="28">
        <f t="shared" ref="T7:X7" si="15">if(H7&gt;0, N7/H7,"No installs")</f>
        <v>0.8023809524</v>
      </c>
      <c r="U7" s="28">
        <f t="shared" si="15"/>
        <v>0.797235023</v>
      </c>
      <c r="V7" s="28">
        <f t="shared" si="15"/>
        <v>0.8333333333</v>
      </c>
      <c r="W7" s="28">
        <f t="shared" si="15"/>
        <v>0.522131888</v>
      </c>
      <c r="X7" s="28">
        <f t="shared" si="15"/>
        <v>0.5</v>
      </c>
      <c r="Y7" s="19"/>
      <c r="Z7" s="29">
        <f t="shared" ref="Z7:AD7" si="16">if(N7&gt;0,B7/N7,"No SignUps")</f>
        <v>0.8456973294</v>
      </c>
      <c r="AA7" s="29">
        <f t="shared" si="16"/>
        <v>0.8265895954</v>
      </c>
      <c r="AB7" s="29">
        <f t="shared" si="16"/>
        <v>0.94</v>
      </c>
      <c r="AC7" s="29">
        <f t="shared" si="16"/>
        <v>0.6418685121</v>
      </c>
      <c r="AD7" s="29">
        <f t="shared" si="16"/>
        <v>1.275167785</v>
      </c>
      <c r="AE7" s="19"/>
      <c r="AF7" s="16"/>
      <c r="AG7" s="16"/>
      <c r="AH7" s="24">
        <f t="shared" si="5"/>
        <v>1017.2</v>
      </c>
      <c r="AI7" s="25">
        <f t="shared" si="6"/>
        <v>2078</v>
      </c>
      <c r="AJ7" s="25">
        <f t="shared" si="7"/>
        <v>1267</v>
      </c>
      <c r="AK7" s="26">
        <f t="shared" si="8"/>
        <v>0.6097208855</v>
      </c>
      <c r="AL7" s="24">
        <f t="shared" si="9"/>
        <v>0.4895091434</v>
      </c>
      <c r="AM7" s="24">
        <f t="shared" si="10"/>
        <v>0.8028413575</v>
      </c>
    </row>
    <row r="8" ht="15.75" customHeight="1">
      <c r="A8" s="16">
        <v>40.0</v>
      </c>
      <c r="B8" s="18">
        <v>386.6</v>
      </c>
      <c r="C8" s="18">
        <v>158.2</v>
      </c>
      <c r="D8" s="18">
        <v>36.0</v>
      </c>
      <c r="E8" s="18">
        <v>303.6</v>
      </c>
      <c r="F8" s="18">
        <v>190.0</v>
      </c>
      <c r="G8" s="19"/>
      <c r="H8" s="27">
        <v>547.0</v>
      </c>
      <c r="I8" s="27">
        <v>261.0</v>
      </c>
      <c r="J8" s="27">
        <v>63.0</v>
      </c>
      <c r="K8" s="27">
        <v>894.0</v>
      </c>
      <c r="L8" s="27">
        <v>293.0</v>
      </c>
      <c r="M8" s="21"/>
      <c r="N8" s="27">
        <v>421.0</v>
      </c>
      <c r="O8" s="27">
        <v>201.0</v>
      </c>
      <c r="P8" s="27">
        <v>42.0</v>
      </c>
      <c r="Q8" s="27">
        <v>491.0</v>
      </c>
      <c r="R8" s="27">
        <v>144.0</v>
      </c>
      <c r="S8" s="21"/>
      <c r="T8" s="28">
        <f t="shared" ref="T8:X8" si="17">if(H8&gt;0, N8/H8,"No installs")</f>
        <v>0.7696526508</v>
      </c>
      <c r="U8" s="28">
        <f t="shared" si="17"/>
        <v>0.7701149425</v>
      </c>
      <c r="V8" s="28">
        <f t="shared" si="17"/>
        <v>0.6666666667</v>
      </c>
      <c r="W8" s="28">
        <f t="shared" si="17"/>
        <v>0.5492170022</v>
      </c>
      <c r="X8" s="28">
        <f t="shared" si="17"/>
        <v>0.4914675768</v>
      </c>
      <c r="Y8" s="19"/>
      <c r="Z8" s="29">
        <f t="shared" ref="Z8:AD8" si="18">if(N8&gt;0,B8/N8,"No SignUps")</f>
        <v>0.9182897862</v>
      </c>
      <c r="AA8" s="29">
        <f t="shared" si="18"/>
        <v>0.7870646766</v>
      </c>
      <c r="AB8" s="29">
        <f t="shared" si="18"/>
        <v>0.8571428571</v>
      </c>
      <c r="AC8" s="29">
        <f t="shared" si="18"/>
        <v>0.6183299389</v>
      </c>
      <c r="AD8" s="29">
        <f t="shared" si="18"/>
        <v>1.319444444</v>
      </c>
      <c r="AE8" s="19"/>
      <c r="AF8" s="16"/>
      <c r="AG8" s="16"/>
      <c r="AH8" s="24">
        <f t="shared" si="5"/>
        <v>1074.4</v>
      </c>
      <c r="AI8" s="25">
        <f t="shared" si="6"/>
        <v>2058</v>
      </c>
      <c r="AJ8" s="25">
        <f t="shared" si="7"/>
        <v>1299</v>
      </c>
      <c r="AK8" s="26">
        <f t="shared" si="8"/>
        <v>0.6311953353</v>
      </c>
      <c r="AL8" s="24">
        <f t="shared" si="9"/>
        <v>0.5220602527</v>
      </c>
      <c r="AM8" s="24">
        <f t="shared" si="10"/>
        <v>0.8270977675</v>
      </c>
    </row>
    <row r="9" ht="15.75" customHeight="1">
      <c r="A9" s="16">
        <v>41.0</v>
      </c>
      <c r="B9" s="18">
        <v>307.6</v>
      </c>
      <c r="C9" s="18">
        <v>179.4</v>
      </c>
      <c r="D9" s="18">
        <v>27.4</v>
      </c>
      <c r="E9" s="18">
        <v>331.2</v>
      </c>
      <c r="F9" s="18">
        <v>187.2</v>
      </c>
      <c r="G9" s="19"/>
      <c r="H9" s="27">
        <v>466.0</v>
      </c>
      <c r="I9" s="27">
        <v>283.0</v>
      </c>
      <c r="J9" s="27">
        <v>26.0</v>
      </c>
      <c r="K9" s="27">
        <v>985.0</v>
      </c>
      <c r="L9" s="27">
        <v>310.0</v>
      </c>
      <c r="M9" s="21"/>
      <c r="N9" s="27">
        <v>325.0</v>
      </c>
      <c r="O9" s="27">
        <v>215.0</v>
      </c>
      <c r="P9" s="27">
        <v>26.0</v>
      </c>
      <c r="Q9" s="27">
        <v>549.0</v>
      </c>
      <c r="R9" s="27">
        <v>168.0</v>
      </c>
      <c r="S9" s="21"/>
      <c r="T9" s="28">
        <f t="shared" ref="T9:X9" si="19">if(H9&gt;0, N9/H9,"No installs")</f>
        <v>0.6974248927</v>
      </c>
      <c r="U9" s="28">
        <f t="shared" si="19"/>
        <v>0.7597173145</v>
      </c>
      <c r="V9" s="28">
        <f t="shared" si="19"/>
        <v>1</v>
      </c>
      <c r="W9" s="28">
        <f t="shared" si="19"/>
        <v>0.5573604061</v>
      </c>
      <c r="X9" s="28">
        <f t="shared" si="19"/>
        <v>0.5419354839</v>
      </c>
      <c r="Y9" s="19"/>
      <c r="Z9" s="29">
        <f t="shared" ref="Z9:AD9" si="20">if(N9&gt;0,B9/N9,"No SignUps")</f>
        <v>0.9464615385</v>
      </c>
      <c r="AA9" s="29">
        <f t="shared" si="20"/>
        <v>0.8344186047</v>
      </c>
      <c r="AB9" s="29">
        <f t="shared" si="20"/>
        <v>1.053846154</v>
      </c>
      <c r="AC9" s="29">
        <f t="shared" si="20"/>
        <v>0.6032786885</v>
      </c>
      <c r="AD9" s="29">
        <f t="shared" si="20"/>
        <v>1.114285714</v>
      </c>
      <c r="AE9" s="19"/>
      <c r="AF9" s="16"/>
      <c r="AG9" s="16"/>
      <c r="AH9" s="24">
        <f t="shared" si="5"/>
        <v>1032.8</v>
      </c>
      <c r="AI9" s="25">
        <f t="shared" si="6"/>
        <v>2070</v>
      </c>
      <c r="AJ9" s="25">
        <f t="shared" si="7"/>
        <v>1283</v>
      </c>
      <c r="AK9" s="26">
        <f t="shared" si="8"/>
        <v>0.6198067633</v>
      </c>
      <c r="AL9" s="24">
        <f t="shared" si="9"/>
        <v>0.4989371981</v>
      </c>
      <c r="AM9" s="24">
        <f t="shared" si="10"/>
        <v>0.8049883087</v>
      </c>
    </row>
    <row r="10" ht="15.75" customHeight="1">
      <c r="A10" s="16">
        <v>42.0</v>
      </c>
      <c r="B10" s="18">
        <v>323.2</v>
      </c>
      <c r="C10" s="18">
        <v>194.0</v>
      </c>
      <c r="D10" s="18">
        <v>36.6</v>
      </c>
      <c r="E10" s="18">
        <v>672.2</v>
      </c>
      <c r="F10" s="18">
        <v>191.8</v>
      </c>
      <c r="G10" s="19"/>
      <c r="H10" s="27">
        <v>516.0</v>
      </c>
      <c r="I10" s="27">
        <v>308.0</v>
      </c>
      <c r="J10" s="27">
        <v>60.0</v>
      </c>
      <c r="K10" s="27">
        <v>1446.0</v>
      </c>
      <c r="L10" s="27">
        <v>347.0</v>
      </c>
      <c r="M10" s="21"/>
      <c r="N10" s="27">
        <v>393.0</v>
      </c>
      <c r="O10" s="27">
        <v>177.0</v>
      </c>
      <c r="P10" s="27">
        <v>29.0</v>
      </c>
      <c r="Q10" s="27">
        <v>667.0</v>
      </c>
      <c r="R10" s="27">
        <v>195.0</v>
      </c>
      <c r="S10" s="21"/>
      <c r="T10" s="28">
        <f t="shared" ref="T10:X10" si="21">if(H10&gt;0, N10/H10,"No installs")</f>
        <v>0.761627907</v>
      </c>
      <c r="U10" s="28">
        <f t="shared" si="21"/>
        <v>0.5746753247</v>
      </c>
      <c r="V10" s="28">
        <f t="shared" si="21"/>
        <v>0.4833333333</v>
      </c>
      <c r="W10" s="28">
        <f t="shared" si="21"/>
        <v>0.4612724758</v>
      </c>
      <c r="X10" s="28">
        <f t="shared" si="21"/>
        <v>0.5619596542</v>
      </c>
      <c r="Y10" s="19"/>
      <c r="Z10" s="29">
        <f t="shared" ref="Z10:AD10" si="22">if(N10&gt;0,B10/N10,"No SignUps")</f>
        <v>0.8223918575</v>
      </c>
      <c r="AA10" s="29">
        <f t="shared" si="22"/>
        <v>1.096045198</v>
      </c>
      <c r="AB10" s="29">
        <f t="shared" si="22"/>
        <v>1.262068966</v>
      </c>
      <c r="AC10" s="29">
        <f t="shared" si="22"/>
        <v>1.007796102</v>
      </c>
      <c r="AD10" s="29">
        <f t="shared" si="22"/>
        <v>0.9835897436</v>
      </c>
      <c r="AE10" s="19"/>
      <c r="AF10" s="16"/>
      <c r="AG10" s="16"/>
      <c r="AH10" s="24">
        <f t="shared" si="5"/>
        <v>1417.8</v>
      </c>
      <c r="AI10" s="25">
        <f t="shared" si="6"/>
        <v>2677</v>
      </c>
      <c r="AJ10" s="25">
        <f t="shared" si="7"/>
        <v>1461</v>
      </c>
      <c r="AK10" s="26">
        <f t="shared" si="8"/>
        <v>0.5457601793</v>
      </c>
      <c r="AL10" s="24">
        <f t="shared" si="9"/>
        <v>0.529622712</v>
      </c>
      <c r="AM10" s="24">
        <f t="shared" si="10"/>
        <v>0.9704312115</v>
      </c>
    </row>
    <row r="11" ht="15.75" customHeight="1">
      <c r="A11" s="16">
        <v>43.0</v>
      </c>
      <c r="B11" s="18">
        <v>328.0</v>
      </c>
      <c r="C11" s="18">
        <v>188.0</v>
      </c>
      <c r="D11" s="18">
        <v>9.0</v>
      </c>
      <c r="E11" s="18">
        <v>296.6</v>
      </c>
      <c r="F11" s="18">
        <v>182.4</v>
      </c>
      <c r="G11" s="19"/>
      <c r="H11" s="27">
        <v>437.0</v>
      </c>
      <c r="I11" s="27">
        <v>280.0</v>
      </c>
      <c r="J11" s="27">
        <v>16.0</v>
      </c>
      <c r="K11" s="27">
        <v>839.0</v>
      </c>
      <c r="L11" s="27">
        <v>338.0</v>
      </c>
      <c r="M11" s="21"/>
      <c r="N11" s="27">
        <v>329.0</v>
      </c>
      <c r="O11" s="27">
        <v>184.0</v>
      </c>
      <c r="P11" s="27">
        <v>8.0</v>
      </c>
      <c r="Q11" s="27">
        <v>435.0</v>
      </c>
      <c r="R11" s="27">
        <v>177.0</v>
      </c>
      <c r="S11" s="21"/>
      <c r="T11" s="28">
        <f t="shared" ref="T11:X11" si="23">if(H11&gt;0, N11/H11,"No installs")</f>
        <v>0.7528604119</v>
      </c>
      <c r="U11" s="28">
        <f t="shared" si="23"/>
        <v>0.6571428571</v>
      </c>
      <c r="V11" s="28">
        <f t="shared" si="23"/>
        <v>0.5</v>
      </c>
      <c r="W11" s="28">
        <f t="shared" si="23"/>
        <v>0.5184743743</v>
      </c>
      <c r="X11" s="28">
        <f t="shared" si="23"/>
        <v>0.5236686391</v>
      </c>
      <c r="Y11" s="19"/>
      <c r="Z11" s="29">
        <f t="shared" ref="Z11:AD11" si="24">if(N11&gt;0,B11/N11,"No SignUps")</f>
        <v>0.9969604863</v>
      </c>
      <c r="AA11" s="29">
        <f t="shared" si="24"/>
        <v>1.02173913</v>
      </c>
      <c r="AB11" s="29">
        <f t="shared" si="24"/>
        <v>1.125</v>
      </c>
      <c r="AC11" s="29">
        <f t="shared" si="24"/>
        <v>0.6818390805</v>
      </c>
      <c r="AD11" s="29">
        <f t="shared" si="24"/>
        <v>1.030508475</v>
      </c>
      <c r="AE11" s="19"/>
      <c r="AF11" s="16"/>
      <c r="AG11" s="16"/>
      <c r="AH11" s="24">
        <f t="shared" si="5"/>
        <v>1004</v>
      </c>
      <c r="AI11" s="25">
        <f t="shared" si="6"/>
        <v>1910</v>
      </c>
      <c r="AJ11" s="25">
        <f t="shared" si="7"/>
        <v>1133</v>
      </c>
      <c r="AK11" s="26">
        <f t="shared" si="8"/>
        <v>0.5931937173</v>
      </c>
      <c r="AL11" s="24">
        <f t="shared" si="9"/>
        <v>0.5256544503</v>
      </c>
      <c r="AM11" s="24">
        <f t="shared" si="10"/>
        <v>0.8861429832</v>
      </c>
    </row>
    <row r="12" ht="15.75" customHeight="1">
      <c r="A12" s="16">
        <v>44.0</v>
      </c>
      <c r="B12" s="18">
        <v>416.6</v>
      </c>
      <c r="C12" s="18">
        <v>328.0</v>
      </c>
      <c r="D12" s="18">
        <v>12.6</v>
      </c>
      <c r="E12" s="18">
        <v>318.2</v>
      </c>
      <c r="F12" s="18">
        <v>193.0</v>
      </c>
      <c r="G12" s="19"/>
      <c r="H12" s="27">
        <v>664.0</v>
      </c>
      <c r="I12" s="27">
        <v>525.0</v>
      </c>
      <c r="J12" s="27">
        <v>16.0</v>
      </c>
      <c r="K12" s="27">
        <v>921.0</v>
      </c>
      <c r="L12" s="27">
        <v>297.0</v>
      </c>
      <c r="M12" s="21"/>
      <c r="N12" s="27">
        <v>443.0</v>
      </c>
      <c r="O12" s="27">
        <v>375.0</v>
      </c>
      <c r="P12" s="27">
        <v>11.0</v>
      </c>
      <c r="Q12" s="27">
        <v>447.0</v>
      </c>
      <c r="R12" s="27">
        <v>170.0</v>
      </c>
      <c r="S12" s="21"/>
      <c r="T12" s="28">
        <f t="shared" ref="T12:X12" si="25">if(H12&gt;0, N12/H12,"No installs")</f>
        <v>0.6671686747</v>
      </c>
      <c r="U12" s="28">
        <f t="shared" si="25"/>
        <v>0.7142857143</v>
      </c>
      <c r="V12" s="28">
        <f t="shared" si="25"/>
        <v>0.6875</v>
      </c>
      <c r="W12" s="28">
        <f t="shared" si="25"/>
        <v>0.4853420195</v>
      </c>
      <c r="X12" s="28">
        <f t="shared" si="25"/>
        <v>0.5723905724</v>
      </c>
      <c r="Y12" s="19"/>
      <c r="Z12" s="29">
        <f t="shared" ref="Z12:AD12" si="26">if(N12&gt;0,B12/N12,"No SignUps")</f>
        <v>0.9404063205</v>
      </c>
      <c r="AA12" s="29">
        <f t="shared" si="26"/>
        <v>0.8746666667</v>
      </c>
      <c r="AB12" s="29">
        <f t="shared" si="26"/>
        <v>1.145454545</v>
      </c>
      <c r="AC12" s="29">
        <f t="shared" si="26"/>
        <v>0.7118568233</v>
      </c>
      <c r="AD12" s="29">
        <f t="shared" si="26"/>
        <v>1.135294118</v>
      </c>
      <c r="AE12" s="19"/>
      <c r="AF12" s="16"/>
      <c r="AG12" s="16"/>
      <c r="AH12" s="24">
        <f t="shared" si="5"/>
        <v>1268.4</v>
      </c>
      <c r="AI12" s="25">
        <f t="shared" si="6"/>
        <v>2423</v>
      </c>
      <c r="AJ12" s="25">
        <f t="shared" si="7"/>
        <v>1446</v>
      </c>
      <c r="AK12" s="26">
        <f t="shared" si="8"/>
        <v>0.5967808502</v>
      </c>
      <c r="AL12" s="24">
        <f t="shared" si="9"/>
        <v>0.5234832852</v>
      </c>
      <c r="AM12" s="24">
        <f t="shared" si="10"/>
        <v>0.8771784232</v>
      </c>
    </row>
    <row r="13" ht="15.75" customHeight="1">
      <c r="A13" s="16">
        <v>45.0</v>
      </c>
      <c r="B13" s="18">
        <v>390.4</v>
      </c>
      <c r="C13" s="18">
        <v>307.0</v>
      </c>
      <c r="D13" s="18">
        <v>32.8</v>
      </c>
      <c r="E13" s="18">
        <v>374.8</v>
      </c>
      <c r="F13" s="18">
        <v>201.0</v>
      </c>
      <c r="G13" s="19"/>
      <c r="H13" s="27">
        <v>619.0</v>
      </c>
      <c r="I13" s="27">
        <v>520.0</v>
      </c>
      <c r="J13" s="27">
        <v>51.0</v>
      </c>
      <c r="K13" s="27">
        <v>1002.0</v>
      </c>
      <c r="L13" s="27">
        <v>303.0</v>
      </c>
      <c r="M13" s="21"/>
      <c r="N13" s="27">
        <v>485.0</v>
      </c>
      <c r="O13" s="27">
        <v>404.0</v>
      </c>
      <c r="P13" s="27">
        <v>4.0</v>
      </c>
      <c r="Q13" s="27">
        <v>515.0</v>
      </c>
      <c r="R13" s="27">
        <v>165.0</v>
      </c>
      <c r="S13" s="21"/>
      <c r="T13" s="28">
        <f t="shared" ref="T13:X13" si="27">if(H13&gt;0, N13/H13,"No installs")</f>
        <v>0.7835218094</v>
      </c>
      <c r="U13" s="28">
        <f t="shared" si="27"/>
        <v>0.7769230769</v>
      </c>
      <c r="V13" s="28">
        <f t="shared" si="27"/>
        <v>0.07843137255</v>
      </c>
      <c r="W13" s="28">
        <f t="shared" si="27"/>
        <v>0.5139720559</v>
      </c>
      <c r="X13" s="28">
        <f t="shared" si="27"/>
        <v>0.5445544554</v>
      </c>
      <c r="Y13" s="19"/>
      <c r="Z13" s="29">
        <f t="shared" ref="Z13:AD13" si="28">if(N13&gt;0,B13/N13,"No SignUps")</f>
        <v>0.8049484536</v>
      </c>
      <c r="AA13" s="29">
        <f t="shared" si="28"/>
        <v>0.7599009901</v>
      </c>
      <c r="AB13" s="29">
        <f t="shared" si="28"/>
        <v>8.2</v>
      </c>
      <c r="AC13" s="29">
        <f t="shared" si="28"/>
        <v>0.7277669903</v>
      </c>
      <c r="AD13" s="29">
        <f t="shared" si="28"/>
        <v>1.218181818</v>
      </c>
      <c r="AE13" s="19"/>
      <c r="AF13" s="16"/>
      <c r="AG13" s="16"/>
      <c r="AH13" s="24">
        <f t="shared" si="5"/>
        <v>1306</v>
      </c>
      <c r="AI13" s="25">
        <f t="shared" si="6"/>
        <v>2495</v>
      </c>
      <c r="AJ13" s="25">
        <f t="shared" si="7"/>
        <v>1573</v>
      </c>
      <c r="AK13" s="26">
        <f t="shared" si="8"/>
        <v>0.6304609218</v>
      </c>
      <c r="AL13" s="24">
        <f t="shared" si="9"/>
        <v>0.5234468938</v>
      </c>
      <c r="AM13" s="24">
        <f t="shared" si="10"/>
        <v>0.8302606484</v>
      </c>
    </row>
    <row r="14" ht="15.75" customHeight="1">
      <c r="A14" s="16">
        <v>46.0</v>
      </c>
      <c r="B14" s="18">
        <v>192.6</v>
      </c>
      <c r="C14" s="18">
        <v>183.0</v>
      </c>
      <c r="D14" s="18">
        <v>843.2</v>
      </c>
      <c r="E14" s="18">
        <v>303.2</v>
      </c>
      <c r="F14" s="18">
        <v>181.4</v>
      </c>
      <c r="G14" s="19"/>
      <c r="H14" s="27">
        <v>313.0</v>
      </c>
      <c r="I14" s="27">
        <v>320.0</v>
      </c>
      <c r="J14" s="27">
        <v>1278.0</v>
      </c>
      <c r="K14" s="27">
        <v>861.0</v>
      </c>
      <c r="L14" s="27">
        <v>264.0</v>
      </c>
      <c r="M14" s="21"/>
      <c r="N14" s="27">
        <v>261.0</v>
      </c>
      <c r="O14" s="27">
        <v>252.0</v>
      </c>
      <c r="P14" s="27">
        <v>826.0</v>
      </c>
      <c r="Q14" s="27">
        <v>429.0</v>
      </c>
      <c r="R14" s="27">
        <v>142.0</v>
      </c>
      <c r="S14" s="21"/>
      <c r="T14" s="28">
        <f t="shared" ref="T14:X14" si="29">if(H14&gt;0, N14/H14,"No installs")</f>
        <v>0.8338658147</v>
      </c>
      <c r="U14" s="28">
        <f t="shared" si="29"/>
        <v>0.7875</v>
      </c>
      <c r="V14" s="28">
        <f t="shared" si="29"/>
        <v>0.6463223787</v>
      </c>
      <c r="W14" s="28">
        <f t="shared" si="29"/>
        <v>0.4982578397</v>
      </c>
      <c r="X14" s="28">
        <f t="shared" si="29"/>
        <v>0.5378787879</v>
      </c>
      <c r="Y14" s="19"/>
      <c r="Z14" s="29">
        <f t="shared" ref="Z14:AD14" si="30">if(N14&gt;0,B14/N14,"No SignUps")</f>
        <v>0.7379310345</v>
      </c>
      <c r="AA14" s="29">
        <f t="shared" si="30"/>
        <v>0.7261904762</v>
      </c>
      <c r="AB14" s="29">
        <f t="shared" si="30"/>
        <v>1.020823245</v>
      </c>
      <c r="AC14" s="29">
        <f t="shared" si="30"/>
        <v>0.7067599068</v>
      </c>
      <c r="AD14" s="29">
        <f t="shared" si="30"/>
        <v>1.277464789</v>
      </c>
      <c r="AE14" s="19"/>
      <c r="AF14" s="16"/>
      <c r="AG14" s="16"/>
      <c r="AH14" s="24">
        <f t="shared" si="5"/>
        <v>1703.4</v>
      </c>
      <c r="AI14" s="25">
        <f t="shared" si="6"/>
        <v>3036</v>
      </c>
      <c r="AJ14" s="25">
        <f t="shared" si="7"/>
        <v>1910</v>
      </c>
      <c r="AK14" s="26">
        <f t="shared" si="8"/>
        <v>0.6291172596</v>
      </c>
      <c r="AL14" s="24">
        <f t="shared" si="9"/>
        <v>0.5610671937</v>
      </c>
      <c r="AM14" s="24">
        <f t="shared" si="10"/>
        <v>0.8918324607</v>
      </c>
    </row>
    <row r="15" ht="15.75" customHeight="1">
      <c r="A15" s="16">
        <v>47.0</v>
      </c>
      <c r="B15" s="18">
        <v>102.4</v>
      </c>
      <c r="C15" s="18">
        <v>142.4</v>
      </c>
      <c r="D15" s="18">
        <v>743.8</v>
      </c>
      <c r="E15" s="18">
        <v>333.0</v>
      </c>
      <c r="F15" s="18">
        <v>161.8</v>
      </c>
      <c r="G15" s="19"/>
      <c r="H15" s="27">
        <v>562.0</v>
      </c>
      <c r="I15" s="27">
        <v>289.0</v>
      </c>
      <c r="J15" s="27">
        <v>1242.0</v>
      </c>
      <c r="K15" s="27">
        <v>1004.0</v>
      </c>
      <c r="L15" s="27">
        <v>234.0</v>
      </c>
      <c r="M15" s="21"/>
      <c r="N15" s="27">
        <v>128.0</v>
      </c>
      <c r="O15" s="27">
        <v>130.0</v>
      </c>
      <c r="P15" s="27">
        <v>926.0</v>
      </c>
      <c r="Q15" s="27">
        <v>430.0</v>
      </c>
      <c r="R15" s="27">
        <v>127.0</v>
      </c>
      <c r="S15" s="21"/>
      <c r="T15" s="28">
        <f t="shared" ref="T15:X15" si="31">if(H15&gt;0, N15/H15,"No installs")</f>
        <v>0.2277580071</v>
      </c>
      <c r="U15" s="28">
        <f t="shared" si="31"/>
        <v>0.4498269896</v>
      </c>
      <c r="V15" s="28">
        <f t="shared" si="31"/>
        <v>0.7455716586</v>
      </c>
      <c r="W15" s="28">
        <f t="shared" si="31"/>
        <v>0.4282868526</v>
      </c>
      <c r="X15" s="28">
        <f t="shared" si="31"/>
        <v>0.5427350427</v>
      </c>
      <c r="Y15" s="19"/>
      <c r="Z15" s="29">
        <f t="shared" ref="Z15:AD15" si="32">if(N15&gt;0,B15/N15,"No SignUps")</f>
        <v>0.8</v>
      </c>
      <c r="AA15" s="29">
        <f t="shared" si="32"/>
        <v>1.095384615</v>
      </c>
      <c r="AB15" s="29">
        <f t="shared" si="32"/>
        <v>0.8032397408</v>
      </c>
      <c r="AC15" s="29">
        <f t="shared" si="32"/>
        <v>0.7744186047</v>
      </c>
      <c r="AD15" s="29">
        <f t="shared" si="32"/>
        <v>1.274015748</v>
      </c>
      <c r="AE15" s="19"/>
      <c r="AF15" s="16"/>
      <c r="AG15" s="16"/>
      <c r="AH15" s="24">
        <f t="shared" si="5"/>
        <v>1483.4</v>
      </c>
      <c r="AI15" s="25">
        <f t="shared" si="6"/>
        <v>3331</v>
      </c>
      <c r="AJ15" s="25">
        <f t="shared" si="7"/>
        <v>1741</v>
      </c>
      <c r="AK15" s="26">
        <f t="shared" si="8"/>
        <v>0.5226658661</v>
      </c>
      <c r="AL15" s="24">
        <f t="shared" si="9"/>
        <v>0.4453317322</v>
      </c>
      <c r="AM15" s="24">
        <f t="shared" si="10"/>
        <v>0.852039058</v>
      </c>
    </row>
    <row r="16" ht="15.75" customHeight="1">
      <c r="A16" s="16">
        <v>48.0</v>
      </c>
      <c r="B16" s="18">
        <v>133.0</v>
      </c>
      <c r="C16" s="18">
        <v>155.6</v>
      </c>
      <c r="D16" s="18">
        <v>405.8</v>
      </c>
      <c r="E16" s="18">
        <v>389.0</v>
      </c>
      <c r="F16" s="18">
        <v>153.0</v>
      </c>
      <c r="G16" s="19"/>
      <c r="H16" s="27">
        <v>171.0</v>
      </c>
      <c r="I16" s="27">
        <v>241.0</v>
      </c>
      <c r="J16" s="27">
        <v>657.0</v>
      </c>
      <c r="K16" s="27">
        <v>1067.0</v>
      </c>
      <c r="L16" s="27">
        <v>234.0</v>
      </c>
      <c r="M16" s="21"/>
      <c r="N16" s="27">
        <v>116.0</v>
      </c>
      <c r="O16" s="27">
        <v>149.0</v>
      </c>
      <c r="P16" s="27">
        <v>477.0</v>
      </c>
      <c r="Q16" s="27">
        <v>418.0</v>
      </c>
      <c r="R16" s="27">
        <v>149.0</v>
      </c>
      <c r="S16" s="21"/>
      <c r="T16" s="28">
        <f t="shared" ref="T16:X16" si="33">if(H16&gt;0, N16/H16,"No installs")</f>
        <v>0.6783625731</v>
      </c>
      <c r="U16" s="28">
        <f t="shared" si="33"/>
        <v>0.6182572614</v>
      </c>
      <c r="V16" s="28">
        <f t="shared" si="33"/>
        <v>0.7260273973</v>
      </c>
      <c r="W16" s="28">
        <f t="shared" si="33"/>
        <v>0.3917525773</v>
      </c>
      <c r="X16" s="28">
        <f t="shared" si="33"/>
        <v>0.6367521368</v>
      </c>
      <c r="Y16" s="19"/>
      <c r="Z16" s="29">
        <f t="shared" ref="Z16:AD16" si="34">if(N16&gt;0,B16/N16,"No SignUps")</f>
        <v>1.146551724</v>
      </c>
      <c r="AA16" s="29">
        <f t="shared" si="34"/>
        <v>1.044295302</v>
      </c>
      <c r="AB16" s="29">
        <f t="shared" si="34"/>
        <v>0.8507337526</v>
      </c>
      <c r="AC16" s="29">
        <f t="shared" si="34"/>
        <v>0.9306220096</v>
      </c>
      <c r="AD16" s="29">
        <f t="shared" si="34"/>
        <v>1.026845638</v>
      </c>
      <c r="AE16" s="19"/>
      <c r="AF16" s="16"/>
      <c r="AG16" s="16"/>
      <c r="AH16" s="24">
        <f t="shared" si="5"/>
        <v>1236.4</v>
      </c>
      <c r="AI16" s="25">
        <f t="shared" si="6"/>
        <v>2370</v>
      </c>
      <c r="AJ16" s="25">
        <f t="shared" si="7"/>
        <v>1309</v>
      </c>
      <c r="AK16" s="26">
        <f t="shared" si="8"/>
        <v>0.5523206751</v>
      </c>
      <c r="AL16" s="24">
        <f t="shared" si="9"/>
        <v>0.5216877637</v>
      </c>
      <c r="AM16" s="24">
        <f t="shared" si="10"/>
        <v>0.9445378151</v>
      </c>
    </row>
    <row r="17" ht="15.75" customHeight="1">
      <c r="A17" s="16">
        <v>49.0</v>
      </c>
      <c r="B17" s="18">
        <v>142.2</v>
      </c>
      <c r="C17" s="18">
        <v>179.4</v>
      </c>
      <c r="D17" s="18">
        <v>418.2</v>
      </c>
      <c r="E17" s="18">
        <v>362.6</v>
      </c>
      <c r="F17" s="18">
        <v>146.6</v>
      </c>
      <c r="G17" s="19"/>
      <c r="H17" s="27">
        <v>235.0</v>
      </c>
      <c r="I17" s="27">
        <v>259.0</v>
      </c>
      <c r="J17" s="27">
        <v>551.0</v>
      </c>
      <c r="K17" s="27">
        <v>1037.0</v>
      </c>
      <c r="L17" s="27">
        <v>568.0</v>
      </c>
      <c r="M17" s="21"/>
      <c r="N17" s="27">
        <v>176.0</v>
      </c>
      <c r="O17" s="27">
        <v>186.0</v>
      </c>
      <c r="P17" s="27">
        <v>372.0</v>
      </c>
      <c r="Q17" s="27">
        <v>357.0</v>
      </c>
      <c r="R17" s="27">
        <v>134.0</v>
      </c>
      <c r="S17" s="21"/>
      <c r="T17" s="28">
        <f t="shared" ref="T17:X17" si="35">if(H17&gt;0, N17/H17,"No installs")</f>
        <v>0.7489361702</v>
      </c>
      <c r="U17" s="28">
        <f t="shared" si="35"/>
        <v>0.7181467181</v>
      </c>
      <c r="V17" s="28">
        <f t="shared" si="35"/>
        <v>0.6751361162</v>
      </c>
      <c r="W17" s="28">
        <f t="shared" si="35"/>
        <v>0.3442622951</v>
      </c>
      <c r="X17" s="28">
        <f t="shared" si="35"/>
        <v>0.235915493</v>
      </c>
      <c r="Y17" s="19"/>
      <c r="Z17" s="29">
        <f t="shared" ref="Z17:AD17" si="36">if(N17&gt;0,B17/N17,"No SignUps")</f>
        <v>0.8079545455</v>
      </c>
      <c r="AA17" s="29">
        <f t="shared" si="36"/>
        <v>0.964516129</v>
      </c>
      <c r="AB17" s="29">
        <f t="shared" si="36"/>
        <v>1.124193548</v>
      </c>
      <c r="AC17" s="29">
        <f t="shared" si="36"/>
        <v>1.015686275</v>
      </c>
      <c r="AD17" s="29">
        <f t="shared" si="36"/>
        <v>1.094029851</v>
      </c>
      <c r="AE17" s="19"/>
      <c r="AF17" s="16"/>
      <c r="AG17" s="16"/>
      <c r="AH17" s="24">
        <f t="shared" si="5"/>
        <v>1249</v>
      </c>
      <c r="AI17" s="25">
        <f t="shared" si="6"/>
        <v>2650</v>
      </c>
      <c r="AJ17" s="25">
        <f t="shared" si="7"/>
        <v>1225</v>
      </c>
      <c r="AK17" s="26">
        <f t="shared" si="8"/>
        <v>0.4622641509</v>
      </c>
      <c r="AL17" s="24">
        <f t="shared" si="9"/>
        <v>0.4713207547</v>
      </c>
      <c r="AM17" s="24">
        <f t="shared" si="10"/>
        <v>1.019591837</v>
      </c>
    </row>
    <row r="18" ht="15.75" customHeight="1">
      <c r="A18" s="16">
        <v>50.0</v>
      </c>
      <c r="B18" s="18">
        <v>179.0</v>
      </c>
      <c r="C18" s="18">
        <v>149.6</v>
      </c>
      <c r="D18" s="18">
        <v>92.6</v>
      </c>
      <c r="E18" s="18">
        <v>254.6</v>
      </c>
      <c r="F18" s="18">
        <v>130.6</v>
      </c>
      <c r="G18" s="19"/>
      <c r="H18" s="27">
        <v>264.0</v>
      </c>
      <c r="I18" s="27">
        <v>223.0</v>
      </c>
      <c r="J18" s="27">
        <v>108.0</v>
      </c>
      <c r="K18" s="27">
        <v>713.0</v>
      </c>
      <c r="L18" s="27">
        <v>194.0</v>
      </c>
      <c r="M18" s="21"/>
      <c r="N18" s="27">
        <v>210.0</v>
      </c>
      <c r="O18" s="27">
        <v>187.0</v>
      </c>
      <c r="P18" s="27">
        <v>46.0</v>
      </c>
      <c r="Q18" s="27">
        <v>348.0</v>
      </c>
      <c r="R18" s="27">
        <v>123.0</v>
      </c>
      <c r="S18" s="21"/>
      <c r="T18" s="28">
        <f t="shared" ref="T18:X18" si="37">if(H18&gt;0, N18/H18,"No installs")</f>
        <v>0.7954545455</v>
      </c>
      <c r="U18" s="28">
        <f t="shared" si="37"/>
        <v>0.8385650224</v>
      </c>
      <c r="V18" s="28">
        <f t="shared" si="37"/>
        <v>0.4259259259</v>
      </c>
      <c r="W18" s="28">
        <f t="shared" si="37"/>
        <v>0.4880785414</v>
      </c>
      <c r="X18" s="28">
        <f t="shared" si="37"/>
        <v>0.6340206186</v>
      </c>
      <c r="Y18" s="19"/>
      <c r="Z18" s="29">
        <f t="shared" ref="Z18:AD18" si="38">if(N18&gt;0,B18/N18,"No SignUps")</f>
        <v>0.8523809524</v>
      </c>
      <c r="AA18" s="29">
        <f t="shared" si="38"/>
        <v>0.8</v>
      </c>
      <c r="AB18" s="29">
        <f t="shared" si="38"/>
        <v>2.013043478</v>
      </c>
      <c r="AC18" s="29">
        <f t="shared" si="38"/>
        <v>0.7316091954</v>
      </c>
      <c r="AD18" s="29">
        <f t="shared" si="38"/>
        <v>1.061788618</v>
      </c>
      <c r="AE18" s="19"/>
      <c r="AF18" s="16"/>
      <c r="AG18" s="16"/>
      <c r="AH18" s="24">
        <f t="shared" si="5"/>
        <v>806.4</v>
      </c>
      <c r="AI18" s="25">
        <f t="shared" si="6"/>
        <v>1502</v>
      </c>
      <c r="AJ18" s="25">
        <f t="shared" si="7"/>
        <v>914</v>
      </c>
      <c r="AK18" s="26">
        <f t="shared" si="8"/>
        <v>0.6085219707</v>
      </c>
      <c r="AL18" s="24">
        <f t="shared" si="9"/>
        <v>0.5368841545</v>
      </c>
      <c r="AM18" s="24">
        <f t="shared" si="10"/>
        <v>0.8822757112</v>
      </c>
    </row>
    <row r="19" ht="15.75" customHeight="1">
      <c r="A19" s="16">
        <v>51.0</v>
      </c>
      <c r="B19" s="18">
        <v>341.6</v>
      </c>
      <c r="C19" s="18">
        <v>308.4</v>
      </c>
      <c r="D19" s="18">
        <v>51.4</v>
      </c>
      <c r="E19" s="18">
        <v>263.2</v>
      </c>
      <c r="F19" s="18">
        <v>112.2</v>
      </c>
      <c r="G19" s="19"/>
      <c r="H19" s="27">
        <v>448.0</v>
      </c>
      <c r="I19" s="27">
        <v>414.0</v>
      </c>
      <c r="J19" s="27">
        <v>58.0</v>
      </c>
      <c r="K19" s="27">
        <v>723.0</v>
      </c>
      <c r="L19" s="27">
        <v>199.0</v>
      </c>
      <c r="M19" s="21"/>
      <c r="N19" s="27">
        <v>319.0</v>
      </c>
      <c r="O19" s="27">
        <v>267.0</v>
      </c>
      <c r="P19" s="27">
        <v>19.0</v>
      </c>
      <c r="Q19" s="27">
        <v>244.0</v>
      </c>
      <c r="R19" s="27">
        <v>122.0</v>
      </c>
      <c r="S19" s="21"/>
      <c r="T19" s="28">
        <f t="shared" ref="T19:X19" si="39">if(H19&gt;0, N19/H19,"No installs")</f>
        <v>0.7120535714</v>
      </c>
      <c r="U19" s="28">
        <f t="shared" si="39"/>
        <v>0.6449275362</v>
      </c>
      <c r="V19" s="28">
        <f t="shared" si="39"/>
        <v>0.3275862069</v>
      </c>
      <c r="W19" s="28">
        <f t="shared" si="39"/>
        <v>0.3374827109</v>
      </c>
      <c r="X19" s="28">
        <f t="shared" si="39"/>
        <v>0.6130653266</v>
      </c>
      <c r="Y19" s="19"/>
      <c r="Z19" s="29">
        <f t="shared" ref="Z19:AD19" si="40">if(N19&gt;0,B19/N19,"No SignUps")</f>
        <v>1.070846395</v>
      </c>
      <c r="AA19" s="29">
        <f t="shared" si="40"/>
        <v>1.15505618</v>
      </c>
      <c r="AB19" s="29">
        <f t="shared" si="40"/>
        <v>2.705263158</v>
      </c>
      <c r="AC19" s="29">
        <f t="shared" si="40"/>
        <v>1.078688525</v>
      </c>
      <c r="AD19" s="29">
        <f t="shared" si="40"/>
        <v>0.9196721311</v>
      </c>
      <c r="AE19" s="19"/>
      <c r="AF19" s="16"/>
      <c r="AG19" s="16"/>
      <c r="AH19" s="24">
        <f t="shared" si="5"/>
        <v>1076.8</v>
      </c>
      <c r="AI19" s="25">
        <f t="shared" si="6"/>
        <v>1842</v>
      </c>
      <c r="AJ19" s="25">
        <f t="shared" si="7"/>
        <v>971</v>
      </c>
      <c r="AK19" s="26">
        <f t="shared" si="8"/>
        <v>0.5271444083</v>
      </c>
      <c r="AL19" s="24">
        <f t="shared" si="9"/>
        <v>0.5845819761</v>
      </c>
      <c r="AM19" s="24">
        <f t="shared" si="10"/>
        <v>1.108959835</v>
      </c>
    </row>
    <row r="20" ht="15.75" customHeight="1">
      <c r="A20" s="16">
        <v>52.0</v>
      </c>
      <c r="B20" s="18">
        <v>367.4</v>
      </c>
      <c r="C20" s="18">
        <v>553.4</v>
      </c>
      <c r="D20" s="18">
        <v>112.6</v>
      </c>
      <c r="E20" s="18">
        <v>549.8</v>
      </c>
      <c r="F20" s="18">
        <v>87.6</v>
      </c>
      <c r="G20" s="19"/>
      <c r="H20" s="27">
        <v>493.0</v>
      </c>
      <c r="I20" s="27">
        <v>687.0</v>
      </c>
      <c r="J20" s="27">
        <v>148.0</v>
      </c>
      <c r="K20" s="27">
        <v>1583.0</v>
      </c>
      <c r="L20" s="27">
        <v>159.0</v>
      </c>
      <c r="M20" s="21"/>
      <c r="N20" s="27">
        <v>319.0</v>
      </c>
      <c r="O20" s="27">
        <v>267.0</v>
      </c>
      <c r="P20" s="27">
        <v>19.0</v>
      </c>
      <c r="Q20" s="27">
        <v>244.0</v>
      </c>
      <c r="R20" s="27">
        <v>122.0</v>
      </c>
      <c r="S20" s="21"/>
      <c r="T20" s="28">
        <f t="shared" ref="T20:X20" si="41">if(H20&gt;0, N20/H20,"No installs")</f>
        <v>0.6470588235</v>
      </c>
      <c r="U20" s="28">
        <f t="shared" si="41"/>
        <v>0.3886462882</v>
      </c>
      <c r="V20" s="28">
        <f t="shared" si="41"/>
        <v>0.1283783784</v>
      </c>
      <c r="W20" s="28">
        <f t="shared" si="41"/>
        <v>0.1541377132</v>
      </c>
      <c r="X20" s="28">
        <f t="shared" si="41"/>
        <v>0.7672955975</v>
      </c>
      <c r="Y20" s="19"/>
      <c r="Z20" s="29">
        <f t="shared" ref="Z20:AD20" si="42">if(N20&gt;0,B20/N20,"No SignUps")</f>
        <v>1.151724138</v>
      </c>
      <c r="AA20" s="29">
        <f t="shared" si="42"/>
        <v>2.072659176</v>
      </c>
      <c r="AB20" s="29">
        <f t="shared" si="42"/>
        <v>5.926315789</v>
      </c>
      <c r="AC20" s="29">
        <f t="shared" si="42"/>
        <v>2.253278689</v>
      </c>
      <c r="AD20" s="29">
        <f t="shared" si="42"/>
        <v>0.7180327869</v>
      </c>
      <c r="AE20" s="19"/>
      <c r="AF20" s="16"/>
      <c r="AG20" s="16"/>
      <c r="AH20" s="24">
        <f t="shared" si="5"/>
        <v>1670.8</v>
      </c>
      <c r="AI20" s="25">
        <f t="shared" si="6"/>
        <v>3070</v>
      </c>
      <c r="AJ20" s="25">
        <f t="shared" si="7"/>
        <v>971</v>
      </c>
      <c r="AK20" s="26">
        <f t="shared" si="8"/>
        <v>0.316286645</v>
      </c>
      <c r="AL20" s="24">
        <f t="shared" si="9"/>
        <v>0.5442345277</v>
      </c>
      <c r="AM20" s="24">
        <f t="shared" si="10"/>
        <v>1.720700309</v>
      </c>
    </row>
    <row r="21" ht="15.75" customHeight="1">
      <c r="A21" s="16">
        <v>1.0</v>
      </c>
      <c r="B21" s="18">
        <v>553.2</v>
      </c>
      <c r="C21" s="18">
        <v>480.0</v>
      </c>
      <c r="D21" s="18">
        <v>93.0</v>
      </c>
      <c r="E21" s="18">
        <v>475.4</v>
      </c>
      <c r="F21" s="18">
        <v>126.6</v>
      </c>
      <c r="G21" s="19"/>
      <c r="H21" s="27">
        <v>789.0</v>
      </c>
      <c r="I21" s="27">
        <v>629.0</v>
      </c>
      <c r="J21" s="27">
        <v>136.0</v>
      </c>
      <c r="K21" s="27">
        <v>1441.0</v>
      </c>
      <c r="L21" s="27">
        <v>208.0</v>
      </c>
      <c r="M21" s="21"/>
      <c r="N21" s="27">
        <v>521.0</v>
      </c>
      <c r="O21" s="27">
        <v>354.0</v>
      </c>
      <c r="P21" s="27">
        <v>20.0</v>
      </c>
      <c r="Q21" s="27">
        <v>449.0</v>
      </c>
      <c r="R21" s="27">
        <v>113.0</v>
      </c>
      <c r="S21" s="21"/>
      <c r="T21" s="28">
        <f t="shared" ref="T21:X21" si="43">if(H21&gt;0, N21/H21,"No installs")</f>
        <v>0.6603295311</v>
      </c>
      <c r="U21" s="28">
        <f t="shared" si="43"/>
        <v>0.5627980922</v>
      </c>
      <c r="V21" s="28">
        <f t="shared" si="43"/>
        <v>0.1470588235</v>
      </c>
      <c r="W21" s="28">
        <f t="shared" si="43"/>
        <v>0.3115891742</v>
      </c>
      <c r="X21" s="28">
        <f t="shared" si="43"/>
        <v>0.5432692308</v>
      </c>
      <c r="Y21" s="19"/>
      <c r="Z21" s="29">
        <f t="shared" ref="Z21:AD21" si="44">if(N21&gt;0,B21/N21,"No SignUps")</f>
        <v>1.061804223</v>
      </c>
      <c r="AA21" s="29">
        <f t="shared" si="44"/>
        <v>1.355932203</v>
      </c>
      <c r="AB21" s="29">
        <f t="shared" si="44"/>
        <v>4.65</v>
      </c>
      <c r="AC21" s="29">
        <f t="shared" si="44"/>
        <v>1.058797327</v>
      </c>
      <c r="AD21" s="29">
        <f t="shared" si="44"/>
        <v>1.120353982</v>
      </c>
      <c r="AE21" s="19"/>
      <c r="AF21" s="16"/>
      <c r="AG21" s="16"/>
      <c r="AH21" s="24">
        <f t="shared" si="5"/>
        <v>1728.2</v>
      </c>
      <c r="AI21" s="25">
        <f t="shared" si="6"/>
        <v>3203</v>
      </c>
      <c r="AJ21" s="25">
        <f t="shared" si="7"/>
        <v>1457</v>
      </c>
      <c r="AK21" s="26">
        <f t="shared" si="8"/>
        <v>0.4548860443</v>
      </c>
      <c r="AL21" s="24">
        <f t="shared" si="9"/>
        <v>0.5395566656</v>
      </c>
      <c r="AM21" s="24">
        <f t="shared" si="10"/>
        <v>1.186135896</v>
      </c>
    </row>
    <row r="22" ht="15.75" customHeight="1">
      <c r="A22" s="16">
        <v>2.0</v>
      </c>
      <c r="B22" s="18">
        <v>433.4</v>
      </c>
      <c r="C22" s="18">
        <v>376.0</v>
      </c>
      <c r="D22" s="18">
        <v>65.2</v>
      </c>
      <c r="E22" s="18">
        <v>357.0</v>
      </c>
      <c r="F22" s="18">
        <v>130.0</v>
      </c>
      <c r="G22" s="19"/>
      <c r="H22" s="27">
        <v>612.0</v>
      </c>
      <c r="I22" s="27">
        <v>481.0</v>
      </c>
      <c r="J22" s="27">
        <v>97.0</v>
      </c>
      <c r="K22" s="27">
        <v>1305.0</v>
      </c>
      <c r="L22" s="27">
        <v>211.0</v>
      </c>
      <c r="M22" s="21"/>
      <c r="N22" s="27">
        <v>477.0</v>
      </c>
      <c r="O22" s="27">
        <v>280.0</v>
      </c>
      <c r="P22" s="27">
        <v>22.0</v>
      </c>
      <c r="Q22" s="27">
        <v>275.0</v>
      </c>
      <c r="R22" s="27">
        <v>123.0</v>
      </c>
      <c r="S22" s="21"/>
      <c r="T22" s="28">
        <f t="shared" ref="T22:X22" si="45">if(H22&gt;0, N22/H22,"No installs")</f>
        <v>0.7794117647</v>
      </c>
      <c r="U22" s="28">
        <f t="shared" si="45"/>
        <v>0.5821205821</v>
      </c>
      <c r="V22" s="28">
        <f t="shared" si="45"/>
        <v>0.2268041237</v>
      </c>
      <c r="W22" s="28">
        <f t="shared" si="45"/>
        <v>0.2107279693</v>
      </c>
      <c r="X22" s="28">
        <f t="shared" si="45"/>
        <v>0.5829383886</v>
      </c>
      <c r="Y22" s="19"/>
      <c r="Z22" s="29">
        <f t="shared" ref="Z22:AD22" si="46">if(N22&gt;0,B22/N22,"No SignUps")</f>
        <v>0.9085953878</v>
      </c>
      <c r="AA22" s="29">
        <f t="shared" si="46"/>
        <v>1.342857143</v>
      </c>
      <c r="AB22" s="29">
        <f t="shared" si="46"/>
        <v>2.963636364</v>
      </c>
      <c r="AC22" s="29">
        <f t="shared" si="46"/>
        <v>1.298181818</v>
      </c>
      <c r="AD22" s="29">
        <f t="shared" si="46"/>
        <v>1.056910569</v>
      </c>
      <c r="AE22" s="19"/>
      <c r="AF22" s="16"/>
      <c r="AG22" s="16"/>
      <c r="AH22" s="24">
        <f t="shared" si="5"/>
        <v>1361.6</v>
      </c>
      <c r="AI22" s="25">
        <f t="shared" si="6"/>
        <v>2706</v>
      </c>
      <c r="AJ22" s="25">
        <f t="shared" si="7"/>
        <v>1177</v>
      </c>
      <c r="AK22" s="26">
        <f t="shared" si="8"/>
        <v>0.4349593496</v>
      </c>
      <c r="AL22" s="24">
        <f t="shared" si="9"/>
        <v>0.5031781227</v>
      </c>
      <c r="AM22" s="24">
        <f t="shared" si="10"/>
        <v>1.156839422</v>
      </c>
    </row>
    <row r="23" ht="15.75" customHeight="1">
      <c r="A23" s="16">
        <v>3.0</v>
      </c>
      <c r="B23" s="18">
        <v>201.4</v>
      </c>
      <c r="C23" s="18">
        <v>228.0</v>
      </c>
      <c r="D23" s="18">
        <v>86.8</v>
      </c>
      <c r="E23" s="18">
        <v>272.0</v>
      </c>
      <c r="F23" s="18">
        <v>122.6</v>
      </c>
      <c r="G23" s="19"/>
      <c r="H23" s="27">
        <v>291.0</v>
      </c>
      <c r="I23" s="27">
        <v>271.0</v>
      </c>
      <c r="J23" s="27">
        <v>104.0</v>
      </c>
      <c r="K23" s="27">
        <v>847.0</v>
      </c>
      <c r="L23" s="27">
        <v>475.0</v>
      </c>
      <c r="M23" s="21"/>
      <c r="N23" s="27">
        <v>236.0</v>
      </c>
      <c r="O23" s="27">
        <v>203.0</v>
      </c>
      <c r="P23" s="27">
        <v>4.0</v>
      </c>
      <c r="Q23" s="27">
        <v>332.0</v>
      </c>
      <c r="R23" s="27">
        <v>141.0</v>
      </c>
      <c r="S23" s="21"/>
      <c r="T23" s="28">
        <f t="shared" ref="T23:X23" si="47">if(H23&gt;0, N23/H23,"No installs")</f>
        <v>0.8109965636</v>
      </c>
      <c r="U23" s="28">
        <f t="shared" si="47"/>
        <v>0.7490774908</v>
      </c>
      <c r="V23" s="28">
        <f t="shared" si="47"/>
        <v>0.03846153846</v>
      </c>
      <c r="W23" s="28">
        <f t="shared" si="47"/>
        <v>0.3919716647</v>
      </c>
      <c r="X23" s="28">
        <f t="shared" si="47"/>
        <v>0.2968421053</v>
      </c>
      <c r="Y23" s="19"/>
      <c r="Z23" s="29">
        <f t="shared" ref="Z23:AD23" si="48">if(N23&gt;0,B23/N23,"No SignUps")</f>
        <v>0.8533898305</v>
      </c>
      <c r="AA23" s="29">
        <f t="shared" si="48"/>
        <v>1.123152709</v>
      </c>
      <c r="AB23" s="29">
        <f t="shared" si="48"/>
        <v>21.7</v>
      </c>
      <c r="AC23" s="29">
        <f t="shared" si="48"/>
        <v>0.8192771084</v>
      </c>
      <c r="AD23" s="29">
        <f t="shared" si="48"/>
        <v>0.8695035461</v>
      </c>
      <c r="AE23" s="19"/>
      <c r="AF23" s="16"/>
      <c r="AG23" s="16"/>
      <c r="AH23" s="24">
        <f t="shared" si="5"/>
        <v>910.8</v>
      </c>
      <c r="AI23" s="25">
        <f t="shared" si="6"/>
        <v>1988</v>
      </c>
      <c r="AJ23" s="25">
        <f t="shared" si="7"/>
        <v>916</v>
      </c>
      <c r="AK23" s="26">
        <f t="shared" si="8"/>
        <v>0.4607645875</v>
      </c>
      <c r="AL23" s="24">
        <f t="shared" si="9"/>
        <v>0.4581488934</v>
      </c>
      <c r="AM23" s="24">
        <f t="shared" si="10"/>
        <v>0.9943231441</v>
      </c>
    </row>
    <row r="24" ht="15.75" customHeight="1">
      <c r="A24" s="16">
        <v>4.0</v>
      </c>
      <c r="B24" s="18"/>
      <c r="C24" s="18"/>
      <c r="D24" s="18"/>
      <c r="E24" s="18"/>
      <c r="F24" s="18"/>
      <c r="G24" s="19"/>
      <c r="H24" s="27"/>
      <c r="I24" s="27"/>
      <c r="J24" s="27"/>
      <c r="K24" s="27"/>
      <c r="L24" s="27"/>
      <c r="M24" s="21"/>
      <c r="N24" s="27"/>
      <c r="O24" s="27"/>
      <c r="P24" s="27"/>
      <c r="Q24" s="27"/>
      <c r="R24" s="27"/>
      <c r="S24" s="21"/>
      <c r="T24" s="28"/>
      <c r="U24" s="28"/>
      <c r="V24" s="28"/>
      <c r="W24" s="28"/>
      <c r="X24" s="28"/>
      <c r="Y24" s="19"/>
      <c r="Z24" s="29"/>
      <c r="AA24" s="29"/>
      <c r="AB24" s="29"/>
      <c r="AC24" s="29"/>
      <c r="AD24" s="29"/>
      <c r="AE24" s="19"/>
      <c r="AF24" s="16"/>
      <c r="AG24" s="16"/>
      <c r="AH24" s="24">
        <f t="shared" si="5"/>
        <v>0</v>
      </c>
      <c r="AI24" s="25"/>
      <c r="AJ24" s="25"/>
      <c r="AK24" s="26"/>
      <c r="AL24" s="24"/>
      <c r="AM24" s="24"/>
    </row>
    <row r="25" ht="15.75" customHeight="1">
      <c r="A25" s="16">
        <v>5.0</v>
      </c>
      <c r="B25" s="18"/>
      <c r="C25" s="18"/>
      <c r="D25" s="18"/>
      <c r="E25" s="18"/>
      <c r="F25" s="18"/>
      <c r="G25" s="19"/>
      <c r="H25" s="27"/>
      <c r="I25" s="27"/>
      <c r="J25" s="27"/>
      <c r="K25" s="27"/>
      <c r="L25" s="27"/>
      <c r="M25" s="21"/>
      <c r="N25" s="27"/>
      <c r="O25" s="27"/>
      <c r="P25" s="27"/>
      <c r="Q25" s="27"/>
      <c r="R25" s="27"/>
      <c r="S25" s="21"/>
      <c r="T25" s="28"/>
      <c r="U25" s="28"/>
      <c r="V25" s="28"/>
      <c r="W25" s="28"/>
      <c r="X25" s="28"/>
      <c r="Y25" s="19"/>
      <c r="Z25" s="29"/>
      <c r="AA25" s="29"/>
      <c r="AB25" s="29"/>
      <c r="AC25" s="29"/>
      <c r="AD25" s="29"/>
      <c r="AE25" s="19"/>
      <c r="AF25" s="16"/>
      <c r="AG25" s="16"/>
      <c r="AH25" s="24"/>
      <c r="AI25" s="25"/>
      <c r="AJ25" s="25"/>
      <c r="AK25" s="26"/>
      <c r="AL25" s="24"/>
      <c r="AM25" s="24"/>
    </row>
    <row r="26" ht="15.75" customHeight="1">
      <c r="A26" s="16">
        <v>6.0</v>
      </c>
      <c r="B26" s="18"/>
      <c r="C26" s="18"/>
      <c r="D26" s="18"/>
      <c r="E26" s="18"/>
      <c r="F26" s="18"/>
      <c r="G26" s="19"/>
      <c r="H26" s="27"/>
      <c r="I26" s="27"/>
      <c r="J26" s="27"/>
      <c r="K26" s="27"/>
      <c r="L26" s="27"/>
      <c r="M26" s="21"/>
      <c r="N26" s="27"/>
      <c r="O26" s="27"/>
      <c r="P26" s="27"/>
      <c r="Q26" s="27"/>
      <c r="R26" s="27"/>
      <c r="S26" s="21"/>
      <c r="T26" s="28"/>
      <c r="U26" s="28"/>
      <c r="V26" s="28"/>
      <c r="W26" s="28"/>
      <c r="X26" s="28"/>
      <c r="Y26" s="19"/>
      <c r="Z26" s="29"/>
      <c r="AA26" s="29"/>
      <c r="AB26" s="29"/>
      <c r="AC26" s="29"/>
      <c r="AD26" s="29"/>
      <c r="AE26" s="19"/>
      <c r="AF26" s="16"/>
      <c r="AG26" s="16"/>
      <c r="AH26" s="24"/>
      <c r="AI26" s="25"/>
      <c r="AJ26" s="25"/>
      <c r="AK26" s="26"/>
      <c r="AL26" s="24"/>
      <c r="AM26" s="24"/>
    </row>
    <row r="27" ht="15.75" customHeight="1">
      <c r="A27" s="16">
        <v>7.0</v>
      </c>
      <c r="B27" s="18"/>
      <c r="C27" s="18"/>
      <c r="D27" s="18"/>
      <c r="E27" s="18"/>
      <c r="F27" s="18"/>
      <c r="G27" s="19"/>
      <c r="H27" s="27"/>
      <c r="I27" s="27"/>
      <c r="J27" s="27"/>
      <c r="K27" s="27"/>
      <c r="L27" s="27"/>
      <c r="M27" s="21"/>
      <c r="N27" s="27"/>
      <c r="O27" s="27"/>
      <c r="P27" s="27"/>
      <c r="Q27" s="27"/>
      <c r="R27" s="27"/>
      <c r="S27" s="21"/>
      <c r="T27" s="28"/>
      <c r="U27" s="28"/>
      <c r="V27" s="28"/>
      <c r="W27" s="28"/>
      <c r="X27" s="28"/>
      <c r="Y27" s="19"/>
      <c r="Z27" s="29"/>
      <c r="AA27" s="29"/>
      <c r="AB27" s="29"/>
      <c r="AC27" s="29"/>
      <c r="AD27" s="29"/>
      <c r="AE27" s="19"/>
      <c r="AF27" s="16"/>
      <c r="AG27" s="16"/>
      <c r="AH27" s="24"/>
      <c r="AI27" s="25"/>
      <c r="AJ27" s="25"/>
      <c r="AK27" s="26"/>
      <c r="AL27" s="24"/>
      <c r="AM27" s="24"/>
    </row>
    <row r="28" ht="15.75" customHeight="1">
      <c r="A28" s="16">
        <v>8.0</v>
      </c>
      <c r="B28" s="18"/>
      <c r="C28" s="18"/>
      <c r="D28" s="18"/>
      <c r="E28" s="18"/>
      <c r="F28" s="18"/>
      <c r="G28" s="19"/>
      <c r="H28" s="27"/>
      <c r="I28" s="27"/>
      <c r="J28" s="27"/>
      <c r="K28" s="27"/>
      <c r="L28" s="27"/>
      <c r="M28" s="21"/>
      <c r="N28" s="27"/>
      <c r="O28" s="27"/>
      <c r="P28" s="27"/>
      <c r="Q28" s="27"/>
      <c r="R28" s="27"/>
      <c r="S28" s="21"/>
      <c r="T28" s="28"/>
      <c r="U28" s="28"/>
      <c r="V28" s="28"/>
      <c r="W28" s="28"/>
      <c r="X28" s="28"/>
      <c r="Y28" s="19"/>
      <c r="Z28" s="29"/>
      <c r="AA28" s="29"/>
      <c r="AB28" s="29"/>
      <c r="AC28" s="29"/>
      <c r="AD28" s="29"/>
      <c r="AE28" s="19"/>
      <c r="AF28" s="16"/>
      <c r="AG28" s="16"/>
      <c r="AH28" s="24"/>
      <c r="AI28" s="25"/>
      <c r="AJ28" s="25"/>
      <c r="AK28" s="26"/>
      <c r="AL28" s="24"/>
      <c r="AM28" s="24"/>
    </row>
    <row r="29" ht="15.75" customHeight="1">
      <c r="A29" s="16">
        <v>9.0</v>
      </c>
      <c r="B29" s="18"/>
      <c r="C29" s="18"/>
      <c r="D29" s="18"/>
      <c r="E29" s="18"/>
      <c r="F29" s="18"/>
      <c r="G29" s="19"/>
      <c r="H29" s="27"/>
      <c r="I29" s="27"/>
      <c r="J29" s="27"/>
      <c r="K29" s="27"/>
      <c r="L29" s="27"/>
      <c r="M29" s="21"/>
      <c r="N29" s="27"/>
      <c r="O29" s="27"/>
      <c r="P29" s="27"/>
      <c r="Q29" s="27"/>
      <c r="R29" s="27"/>
      <c r="S29" s="21"/>
      <c r="T29" s="28"/>
      <c r="U29" s="28"/>
      <c r="V29" s="28"/>
      <c r="W29" s="28"/>
      <c r="X29" s="28"/>
      <c r="Y29" s="19"/>
      <c r="Z29" s="29"/>
      <c r="AA29" s="29"/>
      <c r="AB29" s="29"/>
      <c r="AC29" s="29"/>
      <c r="AD29" s="29"/>
      <c r="AE29" s="19"/>
      <c r="AF29" s="16"/>
      <c r="AG29" s="16"/>
      <c r="AH29" s="24"/>
      <c r="AI29" s="25"/>
      <c r="AJ29" s="25"/>
      <c r="AK29" s="26"/>
      <c r="AL29" s="24"/>
      <c r="AM29" s="24"/>
    </row>
    <row r="30" ht="15.75" customHeight="1">
      <c r="A30" s="16">
        <v>10.0</v>
      </c>
      <c r="B30" s="18"/>
      <c r="C30" s="18"/>
      <c r="D30" s="18"/>
      <c r="E30" s="18"/>
      <c r="F30" s="18"/>
      <c r="G30" s="19"/>
      <c r="H30" s="27"/>
      <c r="I30" s="27"/>
      <c r="J30" s="27"/>
      <c r="K30" s="27"/>
      <c r="L30" s="27"/>
      <c r="M30" s="21"/>
      <c r="N30" s="27"/>
      <c r="O30" s="27"/>
      <c r="P30" s="27"/>
      <c r="Q30" s="27"/>
      <c r="R30" s="27"/>
      <c r="S30" s="21"/>
      <c r="T30" s="28"/>
      <c r="U30" s="28"/>
      <c r="V30" s="28"/>
      <c r="W30" s="28"/>
      <c r="X30" s="28"/>
      <c r="Y30" s="19"/>
      <c r="Z30" s="29"/>
      <c r="AA30" s="29"/>
      <c r="AB30" s="29"/>
      <c r="AC30" s="29"/>
      <c r="AD30" s="29"/>
      <c r="AE30" s="19"/>
      <c r="AF30" s="16"/>
      <c r="AG30" s="16"/>
      <c r="AH30" s="24"/>
      <c r="AI30" s="25"/>
      <c r="AJ30" s="25"/>
      <c r="AK30" s="26"/>
      <c r="AL30" s="24"/>
      <c r="AM30" s="24"/>
    </row>
    <row r="31" ht="15.75" customHeight="1">
      <c r="A31" s="16">
        <v>11.0</v>
      </c>
      <c r="B31" s="18"/>
      <c r="C31" s="18"/>
      <c r="D31" s="18"/>
      <c r="E31" s="18"/>
      <c r="F31" s="18"/>
      <c r="G31" s="19"/>
      <c r="H31" s="27"/>
      <c r="I31" s="27"/>
      <c r="J31" s="27"/>
      <c r="K31" s="27"/>
      <c r="L31" s="27"/>
      <c r="M31" s="21"/>
      <c r="N31" s="27"/>
      <c r="O31" s="27"/>
      <c r="P31" s="27"/>
      <c r="Q31" s="27"/>
      <c r="R31" s="27"/>
      <c r="S31" s="21"/>
      <c r="T31" s="28"/>
      <c r="U31" s="28"/>
      <c r="V31" s="28"/>
      <c r="W31" s="28"/>
      <c r="X31" s="28"/>
      <c r="Y31" s="19"/>
      <c r="Z31" s="29"/>
      <c r="AA31" s="29"/>
      <c r="AB31" s="29"/>
      <c r="AC31" s="29"/>
      <c r="AD31" s="29"/>
      <c r="AE31" s="19"/>
      <c r="AF31" s="16"/>
      <c r="AG31" s="16"/>
      <c r="AH31" s="24"/>
      <c r="AI31" s="25"/>
      <c r="AJ31" s="25"/>
      <c r="AK31" s="26"/>
      <c r="AL31" s="24"/>
      <c r="AM31" s="24"/>
    </row>
    <row r="32" ht="15.75" customHeight="1">
      <c r="A32" s="16">
        <v>12.0</v>
      </c>
      <c r="B32" s="18"/>
      <c r="C32" s="18"/>
      <c r="D32" s="18"/>
      <c r="E32" s="18"/>
      <c r="F32" s="18"/>
      <c r="G32" s="19"/>
      <c r="H32" s="27"/>
      <c r="I32" s="27"/>
      <c r="J32" s="27"/>
      <c r="K32" s="27"/>
      <c r="L32" s="27"/>
      <c r="M32" s="21"/>
      <c r="N32" s="27"/>
      <c r="O32" s="27"/>
      <c r="P32" s="27"/>
      <c r="Q32" s="27"/>
      <c r="R32" s="27"/>
      <c r="S32" s="21"/>
      <c r="T32" s="28"/>
      <c r="U32" s="28"/>
      <c r="V32" s="28"/>
      <c r="W32" s="28"/>
      <c r="X32" s="28"/>
      <c r="Y32" s="19"/>
      <c r="Z32" s="29"/>
      <c r="AA32" s="29"/>
      <c r="AB32" s="29"/>
      <c r="AC32" s="29"/>
      <c r="AD32" s="29"/>
      <c r="AE32" s="19"/>
      <c r="AF32" s="16"/>
      <c r="AG32" s="16"/>
      <c r="AH32" s="24"/>
      <c r="AI32" s="25"/>
      <c r="AJ32" s="25"/>
      <c r="AK32" s="26"/>
      <c r="AL32" s="24"/>
      <c r="AM32" s="24"/>
    </row>
    <row r="33" ht="15.75" customHeight="1">
      <c r="A33" s="16">
        <v>13.0</v>
      </c>
      <c r="B33" s="18"/>
      <c r="C33" s="18"/>
      <c r="D33" s="18"/>
      <c r="E33" s="18"/>
      <c r="F33" s="18"/>
      <c r="G33" s="19"/>
      <c r="H33" s="27"/>
      <c r="I33" s="27"/>
      <c r="J33" s="27"/>
      <c r="K33" s="27"/>
      <c r="L33" s="27"/>
      <c r="M33" s="21"/>
      <c r="N33" s="27"/>
      <c r="O33" s="27"/>
      <c r="P33" s="27"/>
      <c r="Q33" s="27"/>
      <c r="R33" s="27"/>
      <c r="S33" s="21"/>
      <c r="T33" s="28"/>
      <c r="U33" s="28"/>
      <c r="V33" s="28"/>
      <c r="W33" s="28"/>
      <c r="X33" s="28"/>
      <c r="Y33" s="19"/>
      <c r="Z33" s="29"/>
      <c r="AA33" s="29"/>
      <c r="AB33" s="29"/>
      <c r="AC33" s="29"/>
      <c r="AD33" s="29"/>
      <c r="AE33" s="19"/>
      <c r="AF33" s="16"/>
      <c r="AG33" s="16"/>
      <c r="AH33" s="24"/>
      <c r="AI33" s="25"/>
      <c r="AJ33" s="25"/>
      <c r="AK33" s="26"/>
      <c r="AL33" s="24"/>
      <c r="AM33" s="24"/>
    </row>
    <row r="34" ht="15.75" customHeight="1">
      <c r="A34" s="16">
        <v>14.0</v>
      </c>
      <c r="B34" s="18"/>
      <c r="C34" s="18"/>
      <c r="D34" s="18"/>
      <c r="E34" s="18"/>
      <c r="F34" s="18"/>
      <c r="G34" s="19"/>
      <c r="H34" s="27"/>
      <c r="I34" s="27"/>
      <c r="J34" s="27"/>
      <c r="K34" s="27"/>
      <c r="L34" s="27"/>
      <c r="M34" s="21"/>
      <c r="N34" s="27"/>
      <c r="O34" s="27"/>
      <c r="P34" s="27"/>
      <c r="Q34" s="27"/>
      <c r="R34" s="27"/>
      <c r="S34" s="21"/>
      <c r="T34" s="28"/>
      <c r="U34" s="28"/>
      <c r="V34" s="28"/>
      <c r="W34" s="28"/>
      <c r="X34" s="28"/>
      <c r="Y34" s="19"/>
      <c r="Z34" s="29"/>
      <c r="AA34" s="29"/>
      <c r="AB34" s="29"/>
      <c r="AC34" s="29"/>
      <c r="AD34" s="29"/>
      <c r="AE34" s="19"/>
      <c r="AF34" s="16"/>
      <c r="AG34" s="16"/>
      <c r="AH34" s="24"/>
      <c r="AI34" s="25"/>
      <c r="AJ34" s="25"/>
      <c r="AK34" s="26"/>
      <c r="AL34" s="24"/>
      <c r="AM34" s="24"/>
    </row>
    <row r="35" ht="15.75" customHeight="1">
      <c r="A35" s="16">
        <v>15.0</v>
      </c>
      <c r="B35" s="18"/>
      <c r="C35" s="18"/>
      <c r="D35" s="18"/>
      <c r="E35" s="18"/>
      <c r="F35" s="18"/>
      <c r="G35" s="19"/>
      <c r="H35" s="27"/>
      <c r="I35" s="27"/>
      <c r="J35" s="27"/>
      <c r="K35" s="27"/>
      <c r="L35" s="27"/>
      <c r="M35" s="21"/>
      <c r="N35" s="27"/>
      <c r="O35" s="27"/>
      <c r="P35" s="27"/>
      <c r="Q35" s="27"/>
      <c r="R35" s="27"/>
      <c r="S35" s="21"/>
      <c r="T35" s="28"/>
      <c r="U35" s="28"/>
      <c r="V35" s="28"/>
      <c r="W35" s="28"/>
      <c r="X35" s="28"/>
      <c r="Y35" s="19"/>
      <c r="Z35" s="29"/>
      <c r="AA35" s="29"/>
      <c r="AB35" s="29"/>
      <c r="AC35" s="29"/>
      <c r="AD35" s="29"/>
      <c r="AE35" s="19"/>
      <c r="AF35" s="16"/>
      <c r="AG35" s="16"/>
      <c r="AH35" s="24"/>
      <c r="AI35" s="25"/>
      <c r="AJ35" s="25"/>
      <c r="AK35" s="26"/>
      <c r="AL35" s="24"/>
      <c r="AM35" s="24"/>
    </row>
    <row r="36" ht="15.75" customHeight="1">
      <c r="A36" s="16">
        <v>16.0</v>
      </c>
      <c r="B36" s="18"/>
      <c r="C36" s="18"/>
      <c r="D36" s="18"/>
      <c r="E36" s="18"/>
      <c r="F36" s="18"/>
      <c r="G36" s="19"/>
      <c r="H36" s="27"/>
      <c r="I36" s="27"/>
      <c r="J36" s="27"/>
      <c r="K36" s="27"/>
      <c r="L36" s="27"/>
      <c r="M36" s="21"/>
      <c r="N36" s="27"/>
      <c r="O36" s="27"/>
      <c r="P36" s="27"/>
      <c r="Q36" s="27"/>
      <c r="R36" s="27"/>
      <c r="S36" s="21"/>
      <c r="T36" s="28"/>
      <c r="U36" s="28"/>
      <c r="V36" s="28"/>
      <c r="W36" s="28"/>
      <c r="X36" s="28"/>
      <c r="Y36" s="19"/>
      <c r="Z36" s="29"/>
      <c r="AA36" s="29"/>
      <c r="AB36" s="29"/>
      <c r="AC36" s="29"/>
      <c r="AD36" s="29"/>
      <c r="AE36" s="19"/>
      <c r="AF36" s="16"/>
      <c r="AG36" s="16"/>
      <c r="AH36" s="24"/>
      <c r="AI36" s="25"/>
      <c r="AJ36" s="25"/>
      <c r="AK36" s="26"/>
      <c r="AL36" s="24"/>
      <c r="AM36" s="24"/>
    </row>
    <row r="37" ht="15.75" customHeight="1">
      <c r="A37" s="16">
        <v>17.0</v>
      </c>
      <c r="B37" s="18"/>
      <c r="C37" s="18"/>
      <c r="D37" s="18"/>
      <c r="E37" s="18"/>
      <c r="F37" s="18"/>
      <c r="G37" s="19"/>
      <c r="H37" s="27"/>
      <c r="I37" s="27"/>
      <c r="J37" s="27"/>
      <c r="K37" s="27"/>
      <c r="L37" s="27"/>
      <c r="M37" s="21"/>
      <c r="N37" s="27"/>
      <c r="O37" s="27"/>
      <c r="P37" s="27"/>
      <c r="Q37" s="27"/>
      <c r="R37" s="27"/>
      <c r="S37" s="21"/>
      <c r="T37" s="28"/>
      <c r="U37" s="28"/>
      <c r="V37" s="28"/>
      <c r="W37" s="28"/>
      <c r="X37" s="28"/>
      <c r="Y37" s="19"/>
      <c r="Z37" s="29"/>
      <c r="AA37" s="29"/>
      <c r="AB37" s="29"/>
      <c r="AC37" s="29"/>
      <c r="AD37" s="29"/>
      <c r="AE37" s="19"/>
      <c r="AF37" s="16"/>
      <c r="AG37" s="16"/>
      <c r="AH37" s="24"/>
      <c r="AI37" s="25"/>
      <c r="AJ37" s="25"/>
      <c r="AK37" s="26"/>
      <c r="AL37" s="24"/>
      <c r="AM37" s="24"/>
    </row>
    <row r="38" ht="15.75" customHeight="1">
      <c r="A38" s="16">
        <v>18.0</v>
      </c>
      <c r="B38" s="18"/>
      <c r="C38" s="18"/>
      <c r="D38" s="18"/>
      <c r="E38" s="18"/>
      <c r="F38" s="18"/>
      <c r="G38" s="19"/>
      <c r="H38" s="27"/>
      <c r="I38" s="27"/>
      <c r="J38" s="27"/>
      <c r="K38" s="27"/>
      <c r="L38" s="27"/>
      <c r="M38" s="21"/>
      <c r="N38" s="27"/>
      <c r="O38" s="27"/>
      <c r="P38" s="27"/>
      <c r="Q38" s="27"/>
      <c r="R38" s="27"/>
      <c r="S38" s="21"/>
      <c r="T38" s="28"/>
      <c r="U38" s="28"/>
      <c r="V38" s="28"/>
      <c r="W38" s="28"/>
      <c r="X38" s="28"/>
      <c r="Y38" s="19"/>
      <c r="Z38" s="29"/>
      <c r="AA38" s="29"/>
      <c r="AB38" s="29"/>
      <c r="AC38" s="29"/>
      <c r="AD38" s="29"/>
      <c r="AE38" s="19"/>
      <c r="AF38" s="16"/>
      <c r="AG38" s="16"/>
      <c r="AH38" s="24"/>
      <c r="AI38" s="25"/>
      <c r="AJ38" s="25"/>
      <c r="AK38" s="26"/>
      <c r="AL38" s="24"/>
      <c r="AM38" s="24"/>
    </row>
    <row r="39" ht="15.75" customHeight="1">
      <c r="A39" s="16">
        <v>19.0</v>
      </c>
      <c r="B39" s="18"/>
      <c r="C39" s="18"/>
      <c r="D39" s="18"/>
      <c r="E39" s="18"/>
      <c r="F39" s="18"/>
      <c r="G39" s="19"/>
      <c r="H39" s="27"/>
      <c r="I39" s="27"/>
      <c r="J39" s="27"/>
      <c r="K39" s="27"/>
      <c r="L39" s="27"/>
      <c r="M39" s="21"/>
      <c r="N39" s="27"/>
      <c r="O39" s="27"/>
      <c r="P39" s="27"/>
      <c r="Q39" s="27"/>
      <c r="R39" s="27"/>
      <c r="S39" s="21"/>
      <c r="T39" s="28"/>
      <c r="U39" s="28"/>
      <c r="V39" s="28"/>
      <c r="W39" s="28"/>
      <c r="X39" s="28"/>
      <c r="Y39" s="19"/>
      <c r="Z39" s="29"/>
      <c r="AA39" s="29"/>
      <c r="AB39" s="29"/>
      <c r="AC39" s="29"/>
      <c r="AD39" s="29"/>
      <c r="AE39" s="19"/>
      <c r="AF39" s="16"/>
      <c r="AG39" s="16"/>
      <c r="AH39" s="24"/>
      <c r="AI39" s="25"/>
      <c r="AJ39" s="25"/>
      <c r="AK39" s="26"/>
      <c r="AL39" s="24"/>
      <c r="AM39" s="24"/>
    </row>
    <row r="40" ht="15.75" customHeight="1">
      <c r="A40" s="16">
        <v>20.0</v>
      </c>
      <c r="B40" s="18"/>
      <c r="C40" s="18"/>
      <c r="D40" s="18"/>
      <c r="E40" s="18"/>
      <c r="F40" s="18"/>
      <c r="G40" s="19"/>
      <c r="H40" s="27"/>
      <c r="I40" s="27"/>
      <c r="J40" s="27"/>
      <c r="K40" s="27"/>
      <c r="L40" s="27"/>
      <c r="M40" s="21"/>
      <c r="N40" s="27"/>
      <c r="O40" s="27"/>
      <c r="P40" s="27"/>
      <c r="Q40" s="27"/>
      <c r="R40" s="27"/>
      <c r="S40" s="21"/>
      <c r="T40" s="28"/>
      <c r="U40" s="28"/>
      <c r="V40" s="28"/>
      <c r="W40" s="28"/>
      <c r="X40" s="28"/>
      <c r="Y40" s="19"/>
      <c r="Z40" s="29"/>
      <c r="AA40" s="29"/>
      <c r="AB40" s="29"/>
      <c r="AC40" s="29"/>
      <c r="AD40" s="29"/>
      <c r="AE40" s="19"/>
      <c r="AF40" s="16"/>
      <c r="AG40" s="16"/>
      <c r="AH40" s="24"/>
      <c r="AI40" s="25"/>
      <c r="AJ40" s="25"/>
      <c r="AK40" s="26"/>
      <c r="AL40" s="24"/>
      <c r="AM40" s="24"/>
    </row>
    <row r="41" ht="15.75" customHeight="1">
      <c r="A41" s="16">
        <v>21.0</v>
      </c>
      <c r="B41" s="18"/>
      <c r="C41" s="18"/>
      <c r="D41" s="18"/>
      <c r="E41" s="18"/>
      <c r="F41" s="18"/>
      <c r="G41" s="19"/>
      <c r="H41" s="27"/>
      <c r="I41" s="27"/>
      <c r="J41" s="27"/>
      <c r="K41" s="27"/>
      <c r="L41" s="27"/>
      <c r="M41" s="21"/>
      <c r="N41" s="27"/>
      <c r="O41" s="27"/>
      <c r="P41" s="27"/>
      <c r="Q41" s="27"/>
      <c r="R41" s="27"/>
      <c r="S41" s="21"/>
      <c r="T41" s="28"/>
      <c r="U41" s="28"/>
      <c r="V41" s="28"/>
      <c r="W41" s="28"/>
      <c r="X41" s="28"/>
      <c r="Y41" s="19"/>
      <c r="Z41" s="29"/>
      <c r="AA41" s="29"/>
      <c r="AB41" s="29"/>
      <c r="AC41" s="29"/>
      <c r="AD41" s="29"/>
      <c r="AE41" s="19"/>
      <c r="AF41" s="16"/>
      <c r="AG41" s="16"/>
      <c r="AH41" s="24"/>
      <c r="AI41" s="25"/>
      <c r="AJ41" s="25"/>
      <c r="AK41" s="26"/>
      <c r="AL41" s="24"/>
      <c r="AM41" s="24"/>
    </row>
    <row r="42" ht="15.75" customHeight="1">
      <c r="A42" s="16">
        <v>22.0</v>
      </c>
      <c r="B42" s="18"/>
      <c r="C42" s="18"/>
      <c r="D42" s="18"/>
      <c r="E42" s="18"/>
      <c r="F42" s="18"/>
      <c r="G42" s="19"/>
      <c r="H42" s="27"/>
      <c r="I42" s="27"/>
      <c r="J42" s="27"/>
      <c r="K42" s="27"/>
      <c r="L42" s="27"/>
      <c r="M42" s="21"/>
      <c r="N42" s="27"/>
      <c r="O42" s="27"/>
      <c r="P42" s="27"/>
      <c r="Q42" s="27"/>
      <c r="R42" s="27"/>
      <c r="S42" s="21"/>
      <c r="T42" s="28"/>
      <c r="U42" s="28"/>
      <c r="V42" s="28"/>
      <c r="W42" s="28"/>
      <c r="X42" s="28"/>
      <c r="Y42" s="19"/>
      <c r="Z42" s="29"/>
      <c r="AA42" s="29"/>
      <c r="AB42" s="29"/>
      <c r="AC42" s="29"/>
      <c r="AD42" s="29"/>
      <c r="AE42" s="19"/>
      <c r="AF42" s="16"/>
      <c r="AG42" s="16"/>
      <c r="AH42" s="24"/>
      <c r="AI42" s="25"/>
      <c r="AJ42" s="25"/>
      <c r="AK42" s="26"/>
      <c r="AL42" s="24"/>
      <c r="AM42" s="24"/>
    </row>
    <row r="43" ht="15.75" customHeight="1">
      <c r="A43" s="16">
        <v>23.0</v>
      </c>
      <c r="B43" s="18"/>
      <c r="C43" s="18"/>
      <c r="D43" s="18"/>
      <c r="E43" s="18"/>
      <c r="F43" s="18"/>
      <c r="G43" s="19"/>
      <c r="H43" s="27"/>
      <c r="I43" s="27"/>
      <c r="J43" s="27"/>
      <c r="K43" s="27"/>
      <c r="L43" s="27"/>
      <c r="M43" s="21"/>
      <c r="N43" s="27"/>
      <c r="O43" s="27"/>
      <c r="P43" s="27"/>
      <c r="Q43" s="27"/>
      <c r="R43" s="27"/>
      <c r="S43" s="21"/>
      <c r="T43" s="28"/>
      <c r="U43" s="28"/>
      <c r="V43" s="28"/>
      <c r="W43" s="28"/>
      <c r="X43" s="28"/>
      <c r="Y43" s="19"/>
      <c r="Z43" s="29"/>
      <c r="AA43" s="29"/>
      <c r="AB43" s="29"/>
      <c r="AC43" s="29"/>
      <c r="AD43" s="29"/>
      <c r="AE43" s="19"/>
      <c r="AF43" s="16"/>
      <c r="AG43" s="16"/>
      <c r="AH43" s="24"/>
      <c r="AI43" s="25"/>
      <c r="AJ43" s="25"/>
      <c r="AK43" s="26"/>
      <c r="AL43" s="24"/>
      <c r="AM43" s="24"/>
    </row>
    <row r="44" ht="15.75" customHeight="1">
      <c r="A44" s="16">
        <v>24.0</v>
      </c>
      <c r="B44" s="18"/>
      <c r="C44" s="18"/>
      <c r="D44" s="18"/>
      <c r="E44" s="18"/>
      <c r="F44" s="18"/>
      <c r="G44" s="19"/>
      <c r="H44" s="27"/>
      <c r="I44" s="27"/>
      <c r="J44" s="27"/>
      <c r="K44" s="27"/>
      <c r="L44" s="27"/>
      <c r="M44" s="21"/>
      <c r="N44" s="27"/>
      <c r="O44" s="27"/>
      <c r="P44" s="27"/>
      <c r="Q44" s="27"/>
      <c r="R44" s="27"/>
      <c r="S44" s="21"/>
      <c r="T44" s="28"/>
      <c r="U44" s="28"/>
      <c r="V44" s="28"/>
      <c r="W44" s="28"/>
      <c r="X44" s="28"/>
      <c r="Y44" s="19"/>
      <c r="Z44" s="29"/>
      <c r="AA44" s="29"/>
      <c r="AB44" s="29"/>
      <c r="AC44" s="29"/>
      <c r="AD44" s="29"/>
      <c r="AE44" s="19"/>
      <c r="AF44" s="16"/>
      <c r="AG44" s="16"/>
      <c r="AH44" s="24"/>
      <c r="AI44" s="25"/>
      <c r="AJ44" s="25"/>
      <c r="AK44" s="26"/>
      <c r="AL44" s="24"/>
      <c r="AM44" s="24"/>
    </row>
    <row r="45" ht="15.75" customHeight="1">
      <c r="A45" s="16">
        <v>25.0</v>
      </c>
      <c r="B45" s="18"/>
      <c r="C45" s="18"/>
      <c r="D45" s="18"/>
      <c r="E45" s="18"/>
      <c r="F45" s="18"/>
      <c r="G45" s="19"/>
      <c r="H45" s="27"/>
      <c r="I45" s="27"/>
      <c r="J45" s="27"/>
      <c r="K45" s="27"/>
      <c r="L45" s="27"/>
      <c r="M45" s="21"/>
      <c r="N45" s="27"/>
      <c r="O45" s="27"/>
      <c r="P45" s="27"/>
      <c r="Q45" s="27"/>
      <c r="R45" s="27"/>
      <c r="S45" s="21"/>
      <c r="T45" s="28"/>
      <c r="U45" s="28"/>
      <c r="V45" s="28"/>
      <c r="W45" s="28"/>
      <c r="X45" s="28"/>
      <c r="Y45" s="19"/>
      <c r="Z45" s="29"/>
      <c r="AA45" s="29"/>
      <c r="AB45" s="29"/>
      <c r="AC45" s="29"/>
      <c r="AD45" s="29"/>
      <c r="AE45" s="19"/>
      <c r="AF45" s="16"/>
      <c r="AG45" s="16"/>
      <c r="AH45" s="24"/>
      <c r="AI45" s="25"/>
      <c r="AJ45" s="25"/>
      <c r="AK45" s="26"/>
      <c r="AL45" s="24"/>
      <c r="AM45" s="24"/>
    </row>
    <row r="46" ht="15.75" customHeight="1">
      <c r="A46" s="16">
        <v>26.0</v>
      </c>
      <c r="B46" s="18"/>
      <c r="C46" s="18"/>
      <c r="D46" s="18"/>
      <c r="E46" s="18"/>
      <c r="F46" s="18"/>
      <c r="G46" s="19"/>
      <c r="H46" s="27"/>
      <c r="I46" s="27"/>
      <c r="J46" s="27"/>
      <c r="K46" s="27"/>
      <c r="L46" s="27"/>
      <c r="M46" s="21"/>
      <c r="N46" s="27"/>
      <c r="O46" s="27"/>
      <c r="P46" s="27"/>
      <c r="Q46" s="27"/>
      <c r="R46" s="27"/>
      <c r="S46" s="21"/>
      <c r="T46" s="28"/>
      <c r="U46" s="28"/>
      <c r="V46" s="28"/>
      <c r="W46" s="28"/>
      <c r="X46" s="28"/>
      <c r="Y46" s="19"/>
      <c r="Z46" s="29"/>
      <c r="AA46" s="29"/>
      <c r="AB46" s="29"/>
      <c r="AC46" s="29"/>
      <c r="AD46" s="29"/>
      <c r="AE46" s="19"/>
      <c r="AF46" s="16"/>
      <c r="AG46" s="16"/>
      <c r="AH46" s="24"/>
      <c r="AI46" s="25"/>
      <c r="AJ46" s="25"/>
      <c r="AK46" s="26"/>
      <c r="AL46" s="24"/>
      <c r="AM46" s="24"/>
    </row>
    <row r="47" ht="15.75" customHeight="1">
      <c r="A47" s="16">
        <v>27.0</v>
      </c>
      <c r="B47" s="18"/>
      <c r="C47" s="18"/>
      <c r="D47" s="18"/>
      <c r="E47" s="18"/>
      <c r="F47" s="18"/>
      <c r="G47" s="19"/>
      <c r="H47" s="27"/>
      <c r="I47" s="27"/>
      <c r="J47" s="27"/>
      <c r="K47" s="27"/>
      <c r="L47" s="27"/>
      <c r="M47" s="21"/>
      <c r="N47" s="27"/>
      <c r="O47" s="27"/>
      <c r="P47" s="27"/>
      <c r="Q47" s="27"/>
      <c r="R47" s="27"/>
      <c r="S47" s="21"/>
      <c r="T47" s="28"/>
      <c r="U47" s="28"/>
      <c r="V47" s="28"/>
      <c r="W47" s="28"/>
      <c r="X47" s="28"/>
      <c r="Y47" s="19"/>
      <c r="Z47" s="29"/>
      <c r="AA47" s="29"/>
      <c r="AB47" s="29"/>
      <c r="AC47" s="29"/>
      <c r="AD47" s="29"/>
      <c r="AE47" s="19"/>
      <c r="AF47" s="16"/>
      <c r="AG47" s="16"/>
      <c r="AH47" s="24"/>
      <c r="AI47" s="25"/>
      <c r="AJ47" s="25"/>
      <c r="AK47" s="26"/>
      <c r="AL47" s="24"/>
      <c r="AM47" s="24"/>
    </row>
    <row r="48" ht="15.75" customHeight="1">
      <c r="A48" s="16">
        <v>28.0</v>
      </c>
      <c r="B48" s="18"/>
      <c r="C48" s="18"/>
      <c r="D48" s="18"/>
      <c r="E48" s="18"/>
      <c r="F48" s="18"/>
      <c r="G48" s="19"/>
      <c r="H48" s="27"/>
      <c r="I48" s="27"/>
      <c r="J48" s="27"/>
      <c r="K48" s="27"/>
      <c r="L48" s="27"/>
      <c r="M48" s="21"/>
      <c r="N48" s="27"/>
      <c r="O48" s="27"/>
      <c r="P48" s="27"/>
      <c r="Q48" s="27"/>
      <c r="R48" s="27"/>
      <c r="S48" s="21"/>
      <c r="T48" s="28"/>
      <c r="U48" s="28"/>
      <c r="V48" s="28"/>
      <c r="W48" s="28"/>
      <c r="X48" s="28"/>
      <c r="Y48" s="19"/>
      <c r="Z48" s="29"/>
      <c r="AA48" s="29"/>
      <c r="AB48" s="29"/>
      <c r="AC48" s="29"/>
      <c r="AD48" s="29"/>
      <c r="AE48" s="19"/>
      <c r="AF48" s="16"/>
      <c r="AG48" s="16"/>
      <c r="AH48" s="24"/>
      <c r="AI48" s="25"/>
      <c r="AJ48" s="25"/>
      <c r="AK48" s="26"/>
      <c r="AL48" s="24"/>
      <c r="AM48" s="24"/>
    </row>
    <row r="49" ht="15.75" customHeight="1">
      <c r="A49" s="16">
        <v>29.0</v>
      </c>
      <c r="B49" s="18"/>
      <c r="C49" s="18"/>
      <c r="D49" s="18"/>
      <c r="E49" s="18"/>
      <c r="F49" s="18"/>
      <c r="G49" s="19"/>
      <c r="H49" s="27"/>
      <c r="I49" s="27"/>
      <c r="J49" s="27"/>
      <c r="K49" s="27"/>
      <c r="L49" s="27"/>
      <c r="M49" s="21"/>
      <c r="N49" s="27"/>
      <c r="O49" s="27"/>
      <c r="P49" s="27"/>
      <c r="Q49" s="27"/>
      <c r="R49" s="27"/>
      <c r="S49" s="21"/>
      <c r="T49" s="28"/>
      <c r="U49" s="28"/>
      <c r="V49" s="28"/>
      <c r="W49" s="28"/>
      <c r="X49" s="28"/>
      <c r="Y49" s="19"/>
      <c r="Z49" s="29"/>
      <c r="AA49" s="29"/>
      <c r="AB49" s="29"/>
      <c r="AC49" s="29"/>
      <c r="AD49" s="29"/>
      <c r="AE49" s="19"/>
      <c r="AF49" s="16"/>
      <c r="AG49" s="16"/>
      <c r="AH49" s="24"/>
      <c r="AI49" s="25"/>
      <c r="AJ49" s="25"/>
      <c r="AK49" s="26"/>
      <c r="AL49" s="24"/>
      <c r="AM49" s="24"/>
    </row>
    <row r="50" ht="15.75" customHeight="1">
      <c r="A50" s="16">
        <v>30.0</v>
      </c>
      <c r="B50" s="18"/>
      <c r="C50" s="18"/>
      <c r="D50" s="18"/>
      <c r="E50" s="18"/>
      <c r="F50" s="18"/>
      <c r="G50" s="19"/>
      <c r="H50" s="27"/>
      <c r="I50" s="27"/>
      <c r="J50" s="27"/>
      <c r="K50" s="27"/>
      <c r="L50" s="27"/>
      <c r="M50" s="21"/>
      <c r="N50" s="27"/>
      <c r="O50" s="27"/>
      <c r="P50" s="27"/>
      <c r="Q50" s="27"/>
      <c r="R50" s="27"/>
      <c r="S50" s="21"/>
      <c r="T50" s="28"/>
      <c r="U50" s="28"/>
      <c r="V50" s="28"/>
      <c r="W50" s="28"/>
      <c r="X50" s="28"/>
      <c r="Y50" s="19"/>
      <c r="Z50" s="29"/>
      <c r="AA50" s="29"/>
      <c r="AB50" s="29"/>
      <c r="AC50" s="29"/>
      <c r="AD50" s="29"/>
      <c r="AE50" s="19"/>
      <c r="AF50" s="16"/>
      <c r="AG50" s="16"/>
      <c r="AH50" s="24"/>
      <c r="AI50" s="25"/>
      <c r="AJ50" s="25"/>
      <c r="AK50" s="26"/>
      <c r="AL50" s="24"/>
      <c r="AM50" s="24"/>
    </row>
    <row r="51" ht="15.75" customHeight="1">
      <c r="A51" s="16">
        <v>31.0</v>
      </c>
      <c r="B51" s="18"/>
      <c r="C51" s="18"/>
      <c r="D51" s="18"/>
      <c r="E51" s="18"/>
      <c r="F51" s="18"/>
      <c r="G51" s="19"/>
      <c r="H51" s="27"/>
      <c r="I51" s="27"/>
      <c r="J51" s="27"/>
      <c r="K51" s="27"/>
      <c r="L51" s="27"/>
      <c r="M51" s="21"/>
      <c r="N51" s="27"/>
      <c r="O51" s="27"/>
      <c r="P51" s="27"/>
      <c r="Q51" s="27"/>
      <c r="R51" s="27"/>
      <c r="S51" s="21"/>
      <c r="T51" s="28"/>
      <c r="U51" s="28"/>
      <c r="V51" s="28"/>
      <c r="W51" s="28"/>
      <c r="X51" s="28"/>
      <c r="Y51" s="19"/>
      <c r="Z51" s="29"/>
      <c r="AA51" s="29"/>
      <c r="AB51" s="29"/>
      <c r="AC51" s="29"/>
      <c r="AD51" s="29"/>
      <c r="AE51" s="19"/>
      <c r="AF51" s="16"/>
      <c r="AG51" s="16"/>
      <c r="AH51" s="24"/>
      <c r="AI51" s="25"/>
      <c r="AJ51" s="25"/>
      <c r="AK51" s="26"/>
      <c r="AL51" s="24"/>
      <c r="AM51" s="24"/>
    </row>
    <row r="52" ht="15.75" customHeight="1">
      <c r="A52" s="16">
        <v>32.0</v>
      </c>
      <c r="B52" s="18"/>
      <c r="C52" s="18"/>
      <c r="D52" s="18"/>
      <c r="E52" s="18"/>
      <c r="F52" s="18"/>
      <c r="G52" s="19"/>
      <c r="H52" s="27"/>
      <c r="I52" s="27"/>
      <c r="J52" s="27"/>
      <c r="K52" s="27"/>
      <c r="L52" s="27"/>
      <c r="M52" s="21"/>
      <c r="N52" s="27"/>
      <c r="O52" s="27"/>
      <c r="P52" s="27"/>
      <c r="Q52" s="27"/>
      <c r="R52" s="27"/>
      <c r="S52" s="21"/>
      <c r="T52" s="28"/>
      <c r="U52" s="28"/>
      <c r="V52" s="28"/>
      <c r="W52" s="28"/>
      <c r="X52" s="28"/>
      <c r="Y52" s="19"/>
      <c r="Z52" s="29"/>
      <c r="AA52" s="29"/>
      <c r="AB52" s="29"/>
      <c r="AC52" s="29"/>
      <c r="AD52" s="29"/>
      <c r="AE52" s="19"/>
      <c r="AF52" s="16"/>
      <c r="AG52" s="16"/>
      <c r="AH52" s="24"/>
      <c r="AI52" s="25"/>
      <c r="AJ52" s="25"/>
      <c r="AK52" s="26"/>
      <c r="AL52" s="24"/>
      <c r="AM52" s="24"/>
    </row>
    <row r="53" ht="15.75" customHeight="1">
      <c r="B53" s="18"/>
      <c r="C53" s="18"/>
      <c r="D53" s="18"/>
      <c r="E53" s="18"/>
      <c r="F53" s="18"/>
      <c r="G53" s="19"/>
      <c r="H53" s="27"/>
      <c r="I53" s="27"/>
      <c r="J53" s="27"/>
      <c r="K53" s="27"/>
      <c r="L53" s="27"/>
      <c r="M53" s="21"/>
      <c r="N53" s="27"/>
      <c r="O53" s="27"/>
      <c r="P53" s="27"/>
      <c r="Q53" s="27"/>
      <c r="R53" s="27"/>
      <c r="S53" s="21"/>
      <c r="T53" s="28"/>
      <c r="U53" s="28"/>
      <c r="V53" s="28"/>
      <c r="W53" s="28"/>
      <c r="X53" s="28"/>
      <c r="Y53" s="19"/>
      <c r="Z53" s="18"/>
      <c r="AE53" s="19"/>
      <c r="AH53" s="24"/>
      <c r="AI53" s="30"/>
      <c r="AJ53" s="30"/>
      <c r="AK53" s="30"/>
      <c r="AL53" s="24"/>
      <c r="AM53" s="24"/>
    </row>
    <row r="54" ht="15.75" customHeight="1">
      <c r="B54" s="18"/>
      <c r="C54" s="18"/>
      <c r="D54" s="18"/>
      <c r="E54" s="18"/>
      <c r="F54" s="18"/>
      <c r="G54" s="19"/>
      <c r="H54" s="27"/>
      <c r="I54" s="27"/>
      <c r="J54" s="27"/>
      <c r="K54" s="27"/>
      <c r="L54" s="27"/>
      <c r="M54" s="21"/>
      <c r="N54" s="27"/>
      <c r="O54" s="27"/>
      <c r="P54" s="27"/>
      <c r="Q54" s="27"/>
      <c r="R54" s="27"/>
      <c r="S54" s="21"/>
      <c r="T54" s="28"/>
      <c r="U54" s="28"/>
      <c r="V54" s="28"/>
      <c r="W54" s="28"/>
      <c r="X54" s="28"/>
      <c r="Y54" s="19"/>
      <c r="Z54" s="18"/>
      <c r="AE54" s="19"/>
      <c r="AH54" s="24"/>
      <c r="AI54" s="30"/>
      <c r="AJ54" s="30"/>
      <c r="AK54" s="30"/>
      <c r="AL54" s="24"/>
      <c r="AM54" s="24"/>
    </row>
    <row r="55" ht="15.75" customHeight="1">
      <c r="B55" s="18"/>
      <c r="C55" s="18"/>
      <c r="D55" s="18"/>
      <c r="E55" s="18"/>
      <c r="F55" s="18"/>
      <c r="G55" s="19"/>
      <c r="H55" s="27"/>
      <c r="I55" s="27"/>
      <c r="J55" s="27"/>
      <c r="K55" s="27"/>
      <c r="L55" s="27"/>
      <c r="M55" s="21"/>
      <c r="N55" s="27"/>
      <c r="O55" s="27"/>
      <c r="P55" s="27"/>
      <c r="Q55" s="27"/>
      <c r="R55" s="27"/>
      <c r="S55" s="21"/>
      <c r="T55" s="28"/>
      <c r="U55" s="28"/>
      <c r="V55" s="28"/>
      <c r="W55" s="28"/>
      <c r="X55" s="28"/>
      <c r="Y55" s="19"/>
      <c r="Z55" s="18"/>
      <c r="AE55" s="19"/>
      <c r="AH55" s="24"/>
      <c r="AI55" s="30"/>
      <c r="AJ55" s="30"/>
      <c r="AK55" s="30"/>
      <c r="AL55" s="24"/>
      <c r="AM55" s="24"/>
    </row>
    <row r="56" ht="15.75" customHeight="1">
      <c r="B56" s="18"/>
      <c r="C56" s="18"/>
      <c r="D56" s="18"/>
      <c r="E56" s="18"/>
      <c r="F56" s="18"/>
      <c r="G56" s="19"/>
      <c r="H56" s="27"/>
      <c r="I56" s="27"/>
      <c r="J56" s="27"/>
      <c r="K56" s="27"/>
      <c r="L56" s="27"/>
      <c r="M56" s="21"/>
      <c r="N56" s="27"/>
      <c r="O56" s="27"/>
      <c r="P56" s="27"/>
      <c r="Q56" s="27"/>
      <c r="R56" s="27"/>
      <c r="S56" s="21"/>
      <c r="T56" s="28"/>
      <c r="U56" s="28"/>
      <c r="V56" s="28"/>
      <c r="W56" s="28"/>
      <c r="X56" s="28"/>
      <c r="Y56" s="19"/>
      <c r="Z56" s="18"/>
      <c r="AE56" s="19"/>
      <c r="AH56" s="24"/>
      <c r="AI56" s="30"/>
      <c r="AJ56" s="30"/>
      <c r="AK56" s="30"/>
      <c r="AL56" s="24"/>
      <c r="AM56" s="24"/>
    </row>
    <row r="57" ht="15.75" customHeight="1">
      <c r="B57" s="18"/>
      <c r="C57" s="18"/>
      <c r="D57" s="18"/>
      <c r="E57" s="18"/>
      <c r="F57" s="18"/>
      <c r="G57" s="19"/>
      <c r="H57" s="27"/>
      <c r="I57" s="27"/>
      <c r="J57" s="27"/>
      <c r="K57" s="27"/>
      <c r="L57" s="27"/>
      <c r="M57" s="21"/>
      <c r="N57" s="27"/>
      <c r="O57" s="27"/>
      <c r="P57" s="27"/>
      <c r="Q57" s="27"/>
      <c r="R57" s="27"/>
      <c r="S57" s="21"/>
      <c r="T57" s="28"/>
      <c r="U57" s="28"/>
      <c r="V57" s="28"/>
      <c r="W57" s="28"/>
      <c r="X57" s="28"/>
      <c r="Y57" s="19"/>
      <c r="Z57" s="18"/>
      <c r="AE57" s="19"/>
      <c r="AH57" s="24"/>
      <c r="AI57" s="30"/>
      <c r="AJ57" s="30"/>
      <c r="AK57" s="30"/>
      <c r="AL57" s="24"/>
      <c r="AM57" s="24"/>
    </row>
    <row r="58" ht="15.75" customHeight="1">
      <c r="B58" s="18"/>
      <c r="C58" s="18"/>
      <c r="D58" s="18"/>
      <c r="E58" s="18"/>
      <c r="F58" s="18"/>
      <c r="G58" s="19"/>
      <c r="H58" s="27"/>
      <c r="I58" s="27"/>
      <c r="J58" s="27"/>
      <c r="K58" s="27"/>
      <c r="L58" s="27"/>
      <c r="M58" s="21"/>
      <c r="N58" s="27"/>
      <c r="O58" s="27"/>
      <c r="P58" s="27"/>
      <c r="Q58" s="27"/>
      <c r="R58" s="27"/>
      <c r="S58" s="21"/>
      <c r="T58" s="28"/>
      <c r="U58" s="28"/>
      <c r="V58" s="28"/>
      <c r="W58" s="28"/>
      <c r="X58" s="28"/>
      <c r="Y58" s="19"/>
      <c r="Z58" s="18"/>
      <c r="AE58" s="19"/>
      <c r="AH58" s="24"/>
      <c r="AI58" s="30"/>
      <c r="AJ58" s="30"/>
      <c r="AK58" s="30"/>
      <c r="AL58" s="24"/>
      <c r="AM58" s="24"/>
    </row>
    <row r="59" ht="15.75" customHeight="1">
      <c r="B59" s="18"/>
      <c r="C59" s="18"/>
      <c r="D59" s="18"/>
      <c r="E59" s="18"/>
      <c r="F59" s="18"/>
      <c r="G59" s="19"/>
      <c r="H59" s="27"/>
      <c r="I59" s="27"/>
      <c r="J59" s="27"/>
      <c r="K59" s="27"/>
      <c r="L59" s="27"/>
      <c r="M59" s="21"/>
      <c r="N59" s="27"/>
      <c r="O59" s="27"/>
      <c r="P59" s="27"/>
      <c r="Q59" s="27"/>
      <c r="R59" s="27"/>
      <c r="S59" s="21"/>
      <c r="T59" s="28"/>
      <c r="U59" s="28"/>
      <c r="V59" s="28"/>
      <c r="W59" s="28"/>
      <c r="X59" s="28"/>
      <c r="Y59" s="19"/>
      <c r="Z59" s="18"/>
      <c r="AE59" s="19"/>
      <c r="AH59" s="24"/>
      <c r="AI59" s="30"/>
      <c r="AJ59" s="30"/>
      <c r="AK59" s="30"/>
      <c r="AL59" s="24"/>
      <c r="AM59" s="24"/>
    </row>
    <row r="60" ht="15.75" customHeight="1">
      <c r="B60" s="18"/>
      <c r="C60" s="18"/>
      <c r="D60" s="18"/>
      <c r="E60" s="18"/>
      <c r="F60" s="18"/>
      <c r="G60" s="19"/>
      <c r="H60" s="27"/>
      <c r="I60" s="27"/>
      <c r="J60" s="27"/>
      <c r="K60" s="27"/>
      <c r="L60" s="27"/>
      <c r="M60" s="21"/>
      <c r="N60" s="27"/>
      <c r="O60" s="27"/>
      <c r="P60" s="27"/>
      <c r="Q60" s="27"/>
      <c r="R60" s="27"/>
      <c r="S60" s="21"/>
      <c r="T60" s="28"/>
      <c r="U60" s="28"/>
      <c r="V60" s="28"/>
      <c r="W60" s="28"/>
      <c r="X60" s="28"/>
      <c r="Y60" s="19"/>
      <c r="Z60" s="18"/>
      <c r="AE60" s="19"/>
      <c r="AH60" s="24"/>
      <c r="AI60" s="30"/>
      <c r="AJ60" s="30"/>
      <c r="AK60" s="30"/>
      <c r="AL60" s="24"/>
      <c r="AM60" s="24"/>
    </row>
    <row r="61" ht="15.75" customHeight="1">
      <c r="B61" s="18"/>
      <c r="C61" s="18"/>
      <c r="D61" s="18"/>
      <c r="E61" s="18"/>
      <c r="F61" s="18"/>
      <c r="G61" s="19"/>
      <c r="H61" s="27"/>
      <c r="I61" s="27"/>
      <c r="J61" s="27"/>
      <c r="K61" s="27"/>
      <c r="L61" s="27"/>
      <c r="M61" s="21"/>
      <c r="N61" s="27"/>
      <c r="O61" s="27"/>
      <c r="P61" s="27"/>
      <c r="Q61" s="27"/>
      <c r="R61" s="27"/>
      <c r="S61" s="21"/>
      <c r="T61" s="28"/>
      <c r="U61" s="28"/>
      <c r="V61" s="28"/>
      <c r="W61" s="28"/>
      <c r="X61" s="28"/>
      <c r="Y61" s="19"/>
      <c r="Z61" s="18"/>
      <c r="AE61" s="19"/>
      <c r="AH61" s="24"/>
      <c r="AI61" s="30"/>
      <c r="AJ61" s="30"/>
      <c r="AK61" s="30"/>
      <c r="AL61" s="24"/>
      <c r="AM61" s="24"/>
    </row>
    <row r="62" ht="15.75" customHeight="1">
      <c r="B62" s="18"/>
      <c r="C62" s="18"/>
      <c r="D62" s="18"/>
      <c r="E62" s="18"/>
      <c r="F62" s="18"/>
      <c r="G62" s="19"/>
      <c r="H62" s="27"/>
      <c r="I62" s="27"/>
      <c r="J62" s="27"/>
      <c r="K62" s="27"/>
      <c r="L62" s="27"/>
      <c r="M62" s="21"/>
      <c r="N62" s="27"/>
      <c r="O62" s="27"/>
      <c r="P62" s="27"/>
      <c r="Q62" s="27"/>
      <c r="R62" s="27"/>
      <c r="S62" s="21"/>
      <c r="T62" s="28"/>
      <c r="U62" s="28"/>
      <c r="V62" s="28"/>
      <c r="W62" s="28"/>
      <c r="X62" s="28"/>
      <c r="Y62" s="19"/>
      <c r="Z62" s="18"/>
      <c r="AE62" s="19"/>
      <c r="AH62" s="24"/>
      <c r="AI62" s="30"/>
      <c r="AJ62" s="30"/>
      <c r="AK62" s="30"/>
      <c r="AL62" s="24"/>
      <c r="AM62" s="24"/>
    </row>
    <row r="63" ht="15.75" customHeight="1">
      <c r="B63" s="18"/>
      <c r="C63" s="18"/>
      <c r="D63" s="18"/>
      <c r="E63" s="18"/>
      <c r="F63" s="18"/>
      <c r="G63" s="19"/>
      <c r="H63" s="27"/>
      <c r="I63" s="27"/>
      <c r="J63" s="27"/>
      <c r="K63" s="27"/>
      <c r="L63" s="27"/>
      <c r="M63" s="21"/>
      <c r="N63" s="27"/>
      <c r="O63" s="27"/>
      <c r="P63" s="27"/>
      <c r="Q63" s="27"/>
      <c r="R63" s="27"/>
      <c r="S63" s="21"/>
      <c r="T63" s="28"/>
      <c r="U63" s="28"/>
      <c r="V63" s="28"/>
      <c r="W63" s="28"/>
      <c r="X63" s="28"/>
      <c r="Y63" s="19"/>
      <c r="Z63" s="18"/>
      <c r="AE63" s="19"/>
      <c r="AH63" s="24"/>
      <c r="AI63" s="30"/>
      <c r="AJ63" s="30"/>
      <c r="AK63" s="30"/>
      <c r="AL63" s="24"/>
      <c r="AM63" s="24"/>
    </row>
    <row r="64" ht="15.75" customHeight="1">
      <c r="B64" s="18"/>
      <c r="C64" s="18"/>
      <c r="D64" s="18"/>
      <c r="E64" s="18"/>
      <c r="F64" s="18"/>
      <c r="G64" s="19"/>
      <c r="H64" s="27"/>
      <c r="I64" s="27"/>
      <c r="J64" s="27"/>
      <c r="K64" s="27"/>
      <c r="L64" s="27"/>
      <c r="M64" s="21"/>
      <c r="N64" s="27"/>
      <c r="O64" s="27"/>
      <c r="P64" s="27"/>
      <c r="Q64" s="27"/>
      <c r="R64" s="27"/>
      <c r="S64" s="21"/>
      <c r="T64" s="28"/>
      <c r="U64" s="28"/>
      <c r="V64" s="28"/>
      <c r="W64" s="28"/>
      <c r="X64" s="28"/>
      <c r="Y64" s="19"/>
      <c r="Z64" s="18"/>
      <c r="AE64" s="19"/>
      <c r="AH64" s="24"/>
      <c r="AI64" s="30"/>
      <c r="AJ64" s="30"/>
      <c r="AK64" s="30"/>
      <c r="AL64" s="24"/>
      <c r="AM64" s="24"/>
    </row>
    <row r="65" ht="15.75" customHeight="1">
      <c r="B65" s="18"/>
      <c r="C65" s="18"/>
      <c r="D65" s="18"/>
      <c r="E65" s="18"/>
      <c r="F65" s="18"/>
      <c r="G65" s="19"/>
      <c r="H65" s="27"/>
      <c r="I65" s="27"/>
      <c r="J65" s="27"/>
      <c r="K65" s="27"/>
      <c r="L65" s="27"/>
      <c r="M65" s="21"/>
      <c r="N65" s="27"/>
      <c r="O65" s="27"/>
      <c r="P65" s="27"/>
      <c r="Q65" s="27"/>
      <c r="R65" s="27"/>
      <c r="S65" s="21"/>
      <c r="T65" s="28"/>
      <c r="U65" s="28"/>
      <c r="V65" s="28"/>
      <c r="W65" s="28"/>
      <c r="X65" s="28"/>
      <c r="Y65" s="19"/>
      <c r="Z65" s="18"/>
      <c r="AE65" s="19"/>
      <c r="AH65" s="24"/>
      <c r="AI65" s="30"/>
      <c r="AJ65" s="30"/>
      <c r="AK65" s="30"/>
      <c r="AL65" s="24"/>
      <c r="AM65" s="24"/>
    </row>
    <row r="66" ht="15.75" customHeight="1">
      <c r="B66" s="18"/>
      <c r="C66" s="18"/>
      <c r="D66" s="18"/>
      <c r="E66" s="18"/>
      <c r="F66" s="18"/>
      <c r="G66" s="19"/>
      <c r="H66" s="27"/>
      <c r="I66" s="27"/>
      <c r="J66" s="27"/>
      <c r="K66" s="27"/>
      <c r="L66" s="27"/>
      <c r="M66" s="21"/>
      <c r="N66" s="27"/>
      <c r="O66" s="27"/>
      <c r="P66" s="27"/>
      <c r="Q66" s="27"/>
      <c r="R66" s="27"/>
      <c r="S66" s="21"/>
      <c r="T66" s="28"/>
      <c r="U66" s="28"/>
      <c r="V66" s="28"/>
      <c r="W66" s="28"/>
      <c r="X66" s="28"/>
      <c r="Y66" s="19"/>
      <c r="Z66" s="18"/>
      <c r="AE66" s="19"/>
      <c r="AH66" s="24"/>
      <c r="AI66" s="30"/>
      <c r="AJ66" s="30"/>
      <c r="AK66" s="30"/>
      <c r="AL66" s="24"/>
      <c r="AM66" s="24"/>
    </row>
    <row r="67" ht="15.75" customHeight="1">
      <c r="B67" s="18"/>
      <c r="C67" s="18"/>
      <c r="D67" s="18"/>
      <c r="E67" s="18"/>
      <c r="F67" s="18"/>
      <c r="G67" s="19"/>
      <c r="H67" s="27"/>
      <c r="I67" s="27"/>
      <c r="J67" s="27"/>
      <c r="K67" s="27"/>
      <c r="L67" s="27"/>
      <c r="M67" s="21"/>
      <c r="N67" s="27"/>
      <c r="O67" s="27"/>
      <c r="P67" s="27"/>
      <c r="Q67" s="27"/>
      <c r="R67" s="27"/>
      <c r="S67" s="21"/>
      <c r="T67" s="28"/>
      <c r="U67" s="28"/>
      <c r="V67" s="28"/>
      <c r="W67" s="28"/>
      <c r="X67" s="28"/>
      <c r="Y67" s="19"/>
      <c r="Z67" s="18"/>
      <c r="AE67" s="19"/>
      <c r="AH67" s="24"/>
      <c r="AI67" s="30"/>
      <c r="AJ67" s="30"/>
      <c r="AK67" s="30"/>
      <c r="AL67" s="24"/>
      <c r="AM67" s="24"/>
    </row>
    <row r="68" ht="15.75" customHeight="1">
      <c r="B68" s="18"/>
      <c r="C68" s="18"/>
      <c r="D68" s="18"/>
      <c r="E68" s="18"/>
      <c r="F68" s="18"/>
      <c r="G68" s="19"/>
      <c r="H68" s="27"/>
      <c r="I68" s="27"/>
      <c r="J68" s="27"/>
      <c r="K68" s="27"/>
      <c r="L68" s="27"/>
      <c r="M68" s="21"/>
      <c r="N68" s="27"/>
      <c r="O68" s="27"/>
      <c r="P68" s="27"/>
      <c r="Q68" s="27"/>
      <c r="R68" s="27"/>
      <c r="S68" s="21"/>
      <c r="T68" s="28"/>
      <c r="U68" s="28"/>
      <c r="V68" s="28"/>
      <c r="W68" s="28"/>
      <c r="X68" s="28"/>
      <c r="Y68" s="19"/>
      <c r="Z68" s="18"/>
      <c r="AE68" s="19"/>
      <c r="AH68" s="24"/>
      <c r="AI68" s="30"/>
      <c r="AJ68" s="30"/>
      <c r="AK68" s="30"/>
      <c r="AL68" s="24"/>
      <c r="AM68" s="24"/>
    </row>
    <row r="69" ht="15.75" customHeight="1">
      <c r="B69" s="18"/>
      <c r="C69" s="18"/>
      <c r="D69" s="18"/>
      <c r="E69" s="18"/>
      <c r="F69" s="18"/>
      <c r="G69" s="19"/>
      <c r="H69" s="27"/>
      <c r="I69" s="27"/>
      <c r="J69" s="27"/>
      <c r="K69" s="27"/>
      <c r="L69" s="27"/>
      <c r="M69" s="21"/>
      <c r="N69" s="27"/>
      <c r="O69" s="27"/>
      <c r="P69" s="27"/>
      <c r="Q69" s="27"/>
      <c r="R69" s="27"/>
      <c r="S69" s="21"/>
      <c r="T69" s="28"/>
      <c r="U69" s="28"/>
      <c r="V69" s="28"/>
      <c r="W69" s="28"/>
      <c r="X69" s="28"/>
      <c r="Y69" s="19"/>
      <c r="Z69" s="18"/>
      <c r="AE69" s="19"/>
      <c r="AH69" s="24"/>
      <c r="AI69" s="30"/>
      <c r="AJ69" s="30"/>
      <c r="AK69" s="30"/>
      <c r="AL69" s="24"/>
      <c r="AM69" s="24"/>
    </row>
    <row r="70" ht="15.75" customHeight="1">
      <c r="B70" s="18"/>
      <c r="C70" s="18"/>
      <c r="D70" s="18"/>
      <c r="E70" s="18"/>
      <c r="F70" s="18"/>
      <c r="G70" s="19"/>
      <c r="H70" s="27"/>
      <c r="I70" s="27"/>
      <c r="J70" s="27"/>
      <c r="K70" s="27"/>
      <c r="L70" s="27"/>
      <c r="M70" s="21"/>
      <c r="N70" s="27"/>
      <c r="O70" s="27"/>
      <c r="P70" s="27"/>
      <c r="Q70" s="27"/>
      <c r="R70" s="27"/>
      <c r="S70" s="21"/>
      <c r="T70" s="28"/>
      <c r="U70" s="28"/>
      <c r="V70" s="28"/>
      <c r="W70" s="28"/>
      <c r="X70" s="28"/>
      <c r="Y70" s="19"/>
      <c r="Z70" s="18"/>
      <c r="AE70" s="19"/>
      <c r="AH70" s="24"/>
      <c r="AI70" s="30"/>
      <c r="AJ70" s="30"/>
      <c r="AK70" s="30"/>
      <c r="AL70" s="24"/>
      <c r="AM70" s="24"/>
    </row>
    <row r="71" ht="15.75" customHeight="1">
      <c r="B71" s="18"/>
      <c r="C71" s="18"/>
      <c r="D71" s="18"/>
      <c r="E71" s="18"/>
      <c r="F71" s="18"/>
      <c r="G71" s="19"/>
      <c r="H71" s="27"/>
      <c r="I71" s="27"/>
      <c r="J71" s="27"/>
      <c r="K71" s="27"/>
      <c r="L71" s="27"/>
      <c r="M71" s="21"/>
      <c r="N71" s="27"/>
      <c r="O71" s="27"/>
      <c r="P71" s="27"/>
      <c r="Q71" s="27"/>
      <c r="R71" s="27"/>
      <c r="S71" s="21"/>
      <c r="T71" s="28"/>
      <c r="U71" s="28"/>
      <c r="V71" s="28"/>
      <c r="W71" s="28"/>
      <c r="X71" s="28"/>
      <c r="Y71" s="19"/>
      <c r="Z71" s="18"/>
      <c r="AE71" s="19"/>
      <c r="AH71" s="24"/>
      <c r="AI71" s="30"/>
      <c r="AJ71" s="30"/>
      <c r="AK71" s="30"/>
      <c r="AL71" s="24"/>
      <c r="AM71" s="24"/>
    </row>
    <row r="72" ht="15.75" customHeight="1">
      <c r="B72" s="18"/>
      <c r="C72" s="18"/>
      <c r="D72" s="18"/>
      <c r="E72" s="18"/>
      <c r="F72" s="18"/>
      <c r="G72" s="19"/>
      <c r="H72" s="27"/>
      <c r="I72" s="27"/>
      <c r="J72" s="27"/>
      <c r="K72" s="27"/>
      <c r="L72" s="27"/>
      <c r="M72" s="21"/>
      <c r="N72" s="27"/>
      <c r="O72" s="27"/>
      <c r="P72" s="27"/>
      <c r="Q72" s="27"/>
      <c r="R72" s="27"/>
      <c r="S72" s="21"/>
      <c r="T72" s="28"/>
      <c r="U72" s="28"/>
      <c r="V72" s="28"/>
      <c r="W72" s="28"/>
      <c r="X72" s="28"/>
      <c r="Y72" s="19"/>
      <c r="Z72" s="18"/>
      <c r="AE72" s="19"/>
      <c r="AH72" s="24"/>
      <c r="AI72" s="30"/>
      <c r="AJ72" s="30"/>
      <c r="AK72" s="30"/>
      <c r="AL72" s="24"/>
      <c r="AM72" s="24"/>
    </row>
    <row r="73" ht="15.75" customHeight="1">
      <c r="B73" s="18"/>
      <c r="C73" s="18"/>
      <c r="D73" s="18"/>
      <c r="E73" s="18"/>
      <c r="F73" s="18"/>
      <c r="G73" s="19"/>
      <c r="H73" s="27"/>
      <c r="I73" s="27"/>
      <c r="J73" s="27"/>
      <c r="K73" s="27"/>
      <c r="L73" s="27"/>
      <c r="M73" s="21"/>
      <c r="N73" s="27"/>
      <c r="O73" s="27"/>
      <c r="P73" s="27"/>
      <c r="Q73" s="27"/>
      <c r="R73" s="27"/>
      <c r="S73" s="21"/>
      <c r="T73" s="28"/>
      <c r="U73" s="28"/>
      <c r="V73" s="28"/>
      <c r="W73" s="28"/>
      <c r="X73" s="28"/>
      <c r="Y73" s="19"/>
      <c r="Z73" s="18"/>
      <c r="AE73" s="19"/>
      <c r="AH73" s="24"/>
      <c r="AI73" s="30"/>
      <c r="AJ73" s="30"/>
      <c r="AK73" s="30"/>
      <c r="AL73" s="24"/>
      <c r="AM73" s="24"/>
    </row>
    <row r="74" ht="15.75" customHeight="1">
      <c r="B74" s="18"/>
      <c r="C74" s="18"/>
      <c r="D74" s="18"/>
      <c r="E74" s="18"/>
      <c r="F74" s="18"/>
      <c r="G74" s="19"/>
      <c r="H74" s="27"/>
      <c r="I74" s="27"/>
      <c r="J74" s="27"/>
      <c r="K74" s="27"/>
      <c r="L74" s="27"/>
      <c r="M74" s="21"/>
      <c r="N74" s="27"/>
      <c r="O74" s="27"/>
      <c r="P74" s="27"/>
      <c r="Q74" s="27"/>
      <c r="R74" s="27"/>
      <c r="S74" s="21"/>
      <c r="T74" s="28"/>
      <c r="U74" s="28"/>
      <c r="V74" s="28"/>
      <c r="W74" s="28"/>
      <c r="X74" s="28"/>
      <c r="Y74" s="19"/>
      <c r="Z74" s="18"/>
      <c r="AE74" s="19"/>
      <c r="AH74" s="24"/>
      <c r="AI74" s="30"/>
      <c r="AJ74" s="30"/>
      <c r="AK74" s="30"/>
      <c r="AL74" s="24"/>
      <c r="AM74" s="24"/>
    </row>
    <row r="75" ht="15.75" customHeight="1">
      <c r="B75" s="18"/>
      <c r="C75" s="18"/>
      <c r="D75" s="18"/>
      <c r="E75" s="18"/>
      <c r="F75" s="18"/>
      <c r="G75" s="19"/>
      <c r="H75" s="27"/>
      <c r="I75" s="27"/>
      <c r="J75" s="27"/>
      <c r="K75" s="27"/>
      <c r="L75" s="27"/>
      <c r="M75" s="21"/>
      <c r="N75" s="27"/>
      <c r="O75" s="27"/>
      <c r="P75" s="27"/>
      <c r="Q75" s="27"/>
      <c r="R75" s="27"/>
      <c r="S75" s="21"/>
      <c r="T75" s="28"/>
      <c r="U75" s="28"/>
      <c r="V75" s="28"/>
      <c r="W75" s="28"/>
      <c r="X75" s="28"/>
      <c r="Y75" s="19"/>
      <c r="Z75" s="18"/>
      <c r="AE75" s="19"/>
      <c r="AH75" s="24"/>
      <c r="AI75" s="30"/>
      <c r="AJ75" s="30"/>
      <c r="AK75" s="30"/>
      <c r="AL75" s="24"/>
      <c r="AM75" s="24"/>
    </row>
    <row r="76" ht="15.75" customHeight="1">
      <c r="B76" s="18"/>
      <c r="C76" s="18"/>
      <c r="D76" s="18"/>
      <c r="E76" s="18"/>
      <c r="F76" s="18"/>
      <c r="G76" s="19"/>
      <c r="H76" s="27"/>
      <c r="I76" s="27"/>
      <c r="J76" s="27"/>
      <c r="K76" s="27"/>
      <c r="L76" s="27"/>
      <c r="M76" s="21"/>
      <c r="N76" s="27"/>
      <c r="O76" s="27"/>
      <c r="P76" s="27"/>
      <c r="Q76" s="27"/>
      <c r="R76" s="27"/>
      <c r="S76" s="21"/>
      <c r="T76" s="28"/>
      <c r="U76" s="28"/>
      <c r="V76" s="28"/>
      <c r="W76" s="28"/>
      <c r="X76" s="28"/>
      <c r="Y76" s="19"/>
      <c r="Z76" s="18"/>
      <c r="AE76" s="19"/>
      <c r="AH76" s="24"/>
      <c r="AI76" s="30"/>
      <c r="AJ76" s="30"/>
      <c r="AK76" s="30"/>
      <c r="AL76" s="24"/>
      <c r="AM76" s="24"/>
    </row>
    <row r="77" ht="15.75" customHeight="1">
      <c r="B77" s="18"/>
      <c r="C77" s="18"/>
      <c r="D77" s="18"/>
      <c r="E77" s="18"/>
      <c r="F77" s="18"/>
      <c r="G77" s="19"/>
      <c r="H77" s="27"/>
      <c r="I77" s="27"/>
      <c r="J77" s="27"/>
      <c r="K77" s="27"/>
      <c r="L77" s="27"/>
      <c r="M77" s="21"/>
      <c r="N77" s="27"/>
      <c r="O77" s="27"/>
      <c r="P77" s="27"/>
      <c r="Q77" s="27"/>
      <c r="R77" s="27"/>
      <c r="S77" s="21"/>
      <c r="T77" s="28"/>
      <c r="U77" s="28"/>
      <c r="V77" s="28"/>
      <c r="W77" s="28"/>
      <c r="X77" s="28"/>
      <c r="Y77" s="19"/>
      <c r="Z77" s="18"/>
      <c r="AE77" s="19"/>
      <c r="AH77" s="24"/>
      <c r="AI77" s="30"/>
      <c r="AJ77" s="30"/>
      <c r="AK77" s="30"/>
      <c r="AL77" s="24"/>
      <c r="AM77" s="24"/>
    </row>
    <row r="78" ht="15.75" customHeight="1">
      <c r="B78" s="18"/>
      <c r="C78" s="18"/>
      <c r="D78" s="18"/>
      <c r="E78" s="18"/>
      <c r="F78" s="18"/>
      <c r="G78" s="19"/>
      <c r="H78" s="27"/>
      <c r="I78" s="27"/>
      <c r="J78" s="27"/>
      <c r="K78" s="27"/>
      <c r="L78" s="27"/>
      <c r="M78" s="21"/>
      <c r="N78" s="27"/>
      <c r="O78" s="27"/>
      <c r="P78" s="27"/>
      <c r="Q78" s="27"/>
      <c r="R78" s="27"/>
      <c r="S78" s="21"/>
      <c r="T78" s="28"/>
      <c r="U78" s="28"/>
      <c r="V78" s="28"/>
      <c r="W78" s="28"/>
      <c r="X78" s="28"/>
      <c r="Y78" s="19"/>
      <c r="Z78" s="18"/>
      <c r="AE78" s="19"/>
      <c r="AH78" s="24"/>
      <c r="AI78" s="30"/>
      <c r="AJ78" s="30"/>
      <c r="AK78" s="30"/>
      <c r="AL78" s="24"/>
      <c r="AM78" s="24"/>
    </row>
    <row r="79" ht="15.75" customHeight="1">
      <c r="B79" s="18"/>
      <c r="C79" s="18"/>
      <c r="D79" s="18"/>
      <c r="E79" s="18"/>
      <c r="F79" s="18"/>
      <c r="G79" s="19"/>
      <c r="H79" s="27"/>
      <c r="I79" s="27"/>
      <c r="J79" s="27"/>
      <c r="K79" s="27"/>
      <c r="L79" s="27"/>
      <c r="M79" s="21"/>
      <c r="N79" s="27"/>
      <c r="O79" s="27"/>
      <c r="P79" s="27"/>
      <c r="Q79" s="27"/>
      <c r="R79" s="27"/>
      <c r="S79" s="21"/>
      <c r="T79" s="28"/>
      <c r="U79" s="28"/>
      <c r="V79" s="28"/>
      <c r="W79" s="28"/>
      <c r="X79" s="28"/>
      <c r="Y79" s="19"/>
      <c r="Z79" s="18"/>
      <c r="AE79" s="19"/>
      <c r="AH79" s="24"/>
      <c r="AI79" s="30"/>
      <c r="AJ79" s="30"/>
      <c r="AK79" s="30"/>
      <c r="AL79" s="24"/>
      <c r="AM79" s="24"/>
    </row>
    <row r="80" ht="15.75" customHeight="1">
      <c r="B80" s="18"/>
      <c r="C80" s="18"/>
      <c r="D80" s="18"/>
      <c r="E80" s="18"/>
      <c r="F80" s="18"/>
      <c r="G80" s="19"/>
      <c r="H80" s="27"/>
      <c r="I80" s="27"/>
      <c r="J80" s="27"/>
      <c r="K80" s="27"/>
      <c r="L80" s="27"/>
      <c r="M80" s="21"/>
      <c r="N80" s="27"/>
      <c r="O80" s="27"/>
      <c r="P80" s="27"/>
      <c r="Q80" s="27"/>
      <c r="R80" s="27"/>
      <c r="S80" s="21"/>
      <c r="T80" s="28"/>
      <c r="U80" s="28"/>
      <c r="V80" s="28"/>
      <c r="W80" s="28"/>
      <c r="X80" s="28"/>
      <c r="Y80" s="19"/>
      <c r="Z80" s="18"/>
      <c r="AE80" s="19"/>
      <c r="AH80" s="24"/>
      <c r="AI80" s="30"/>
      <c r="AJ80" s="30"/>
      <c r="AK80" s="30"/>
      <c r="AL80" s="24"/>
      <c r="AM80" s="24"/>
    </row>
    <row r="81" ht="15.75" customHeight="1">
      <c r="B81" s="18"/>
      <c r="C81" s="18"/>
      <c r="D81" s="18"/>
      <c r="E81" s="18"/>
      <c r="F81" s="18"/>
      <c r="G81" s="19"/>
      <c r="H81" s="27"/>
      <c r="I81" s="27"/>
      <c r="J81" s="27"/>
      <c r="K81" s="27"/>
      <c r="L81" s="27"/>
      <c r="M81" s="21"/>
      <c r="N81" s="27"/>
      <c r="O81" s="27"/>
      <c r="P81" s="27"/>
      <c r="Q81" s="27"/>
      <c r="R81" s="27"/>
      <c r="S81" s="21"/>
      <c r="T81" s="28"/>
      <c r="U81" s="28"/>
      <c r="V81" s="28"/>
      <c r="W81" s="28"/>
      <c r="X81" s="28"/>
      <c r="Y81" s="19"/>
      <c r="Z81" s="18"/>
      <c r="AE81" s="19"/>
      <c r="AH81" s="24"/>
      <c r="AI81" s="30"/>
      <c r="AJ81" s="30"/>
      <c r="AK81" s="30"/>
      <c r="AL81" s="24"/>
      <c r="AM81" s="24"/>
    </row>
    <row r="82" ht="15.75" customHeight="1">
      <c r="B82" s="18"/>
      <c r="C82" s="18"/>
      <c r="D82" s="18"/>
      <c r="E82" s="18"/>
      <c r="F82" s="18"/>
      <c r="G82" s="19"/>
      <c r="H82" s="27"/>
      <c r="I82" s="27"/>
      <c r="J82" s="27"/>
      <c r="K82" s="27"/>
      <c r="L82" s="27"/>
      <c r="M82" s="21"/>
      <c r="N82" s="27"/>
      <c r="O82" s="27"/>
      <c r="P82" s="27"/>
      <c r="Q82" s="27"/>
      <c r="R82" s="27"/>
      <c r="S82" s="21"/>
      <c r="T82" s="28"/>
      <c r="U82" s="28"/>
      <c r="V82" s="28"/>
      <c r="W82" s="28"/>
      <c r="X82" s="28"/>
      <c r="Y82" s="19"/>
      <c r="Z82" s="18"/>
      <c r="AE82" s="19"/>
      <c r="AH82" s="24"/>
      <c r="AI82" s="30"/>
      <c r="AJ82" s="30"/>
      <c r="AK82" s="30"/>
      <c r="AL82" s="24"/>
      <c r="AM82" s="24"/>
    </row>
    <row r="83" ht="15.75" customHeight="1">
      <c r="B83" s="18"/>
      <c r="C83" s="18"/>
      <c r="D83" s="18"/>
      <c r="E83" s="18"/>
      <c r="F83" s="18"/>
      <c r="G83" s="19"/>
      <c r="H83" s="27"/>
      <c r="I83" s="27"/>
      <c r="J83" s="27"/>
      <c r="K83" s="27"/>
      <c r="L83" s="27"/>
      <c r="M83" s="21"/>
      <c r="N83" s="27"/>
      <c r="O83" s="27"/>
      <c r="P83" s="27"/>
      <c r="Q83" s="27"/>
      <c r="R83" s="27"/>
      <c r="S83" s="21"/>
      <c r="T83" s="28"/>
      <c r="U83" s="28"/>
      <c r="V83" s="28"/>
      <c r="W83" s="28"/>
      <c r="X83" s="28"/>
      <c r="Y83" s="19"/>
      <c r="Z83" s="18"/>
      <c r="AE83" s="19"/>
      <c r="AH83" s="24"/>
      <c r="AI83" s="30"/>
      <c r="AJ83" s="30"/>
      <c r="AK83" s="30"/>
      <c r="AL83" s="24"/>
      <c r="AM83" s="24"/>
    </row>
    <row r="84" ht="15.75" customHeight="1">
      <c r="B84" s="18"/>
      <c r="C84" s="18"/>
      <c r="D84" s="18"/>
      <c r="E84" s="18"/>
      <c r="F84" s="18"/>
      <c r="G84" s="19"/>
      <c r="H84" s="27"/>
      <c r="I84" s="27"/>
      <c r="J84" s="27"/>
      <c r="K84" s="27"/>
      <c r="L84" s="27"/>
      <c r="M84" s="21"/>
      <c r="N84" s="27"/>
      <c r="O84" s="27"/>
      <c r="P84" s="27"/>
      <c r="Q84" s="27"/>
      <c r="R84" s="27"/>
      <c r="S84" s="21"/>
      <c r="T84" s="28"/>
      <c r="U84" s="28"/>
      <c r="V84" s="28"/>
      <c r="W84" s="28"/>
      <c r="X84" s="28"/>
      <c r="Y84" s="19"/>
      <c r="Z84" s="18"/>
      <c r="AE84" s="19"/>
      <c r="AH84" s="24"/>
      <c r="AI84" s="30"/>
      <c r="AJ84" s="30"/>
      <c r="AK84" s="30"/>
      <c r="AL84" s="24"/>
      <c r="AM84" s="24"/>
    </row>
    <row r="85" ht="15.75" customHeight="1">
      <c r="B85" s="18"/>
      <c r="C85" s="18"/>
      <c r="D85" s="18"/>
      <c r="E85" s="18"/>
      <c r="F85" s="18"/>
      <c r="G85" s="19"/>
      <c r="H85" s="27"/>
      <c r="I85" s="27"/>
      <c r="J85" s="27"/>
      <c r="K85" s="27"/>
      <c r="L85" s="27"/>
      <c r="M85" s="21"/>
      <c r="N85" s="27"/>
      <c r="O85" s="27"/>
      <c r="P85" s="27"/>
      <c r="Q85" s="27"/>
      <c r="R85" s="27"/>
      <c r="S85" s="21"/>
      <c r="T85" s="28"/>
      <c r="U85" s="28"/>
      <c r="V85" s="28"/>
      <c r="W85" s="28"/>
      <c r="X85" s="28"/>
      <c r="Y85" s="19"/>
      <c r="Z85" s="18"/>
      <c r="AE85" s="19"/>
      <c r="AH85" s="24"/>
      <c r="AI85" s="30"/>
      <c r="AJ85" s="30"/>
      <c r="AK85" s="30"/>
      <c r="AL85" s="24"/>
      <c r="AM85" s="24"/>
    </row>
    <row r="86" ht="15.75" customHeight="1">
      <c r="B86" s="18"/>
      <c r="C86" s="18"/>
      <c r="D86" s="18"/>
      <c r="E86" s="18"/>
      <c r="F86" s="18"/>
      <c r="G86" s="19"/>
      <c r="H86" s="27"/>
      <c r="I86" s="27"/>
      <c r="J86" s="27"/>
      <c r="K86" s="27"/>
      <c r="L86" s="27"/>
      <c r="M86" s="21"/>
      <c r="N86" s="27"/>
      <c r="O86" s="27"/>
      <c r="P86" s="27"/>
      <c r="Q86" s="27"/>
      <c r="R86" s="27"/>
      <c r="S86" s="21"/>
      <c r="T86" s="28"/>
      <c r="U86" s="28"/>
      <c r="V86" s="28"/>
      <c r="W86" s="28"/>
      <c r="X86" s="28"/>
      <c r="Y86" s="19"/>
      <c r="Z86" s="18"/>
      <c r="AE86" s="19"/>
      <c r="AH86" s="24"/>
      <c r="AI86" s="30"/>
      <c r="AJ86" s="30"/>
      <c r="AK86" s="30"/>
      <c r="AL86" s="24"/>
      <c r="AM86" s="24"/>
    </row>
    <row r="87" ht="15.75" customHeight="1">
      <c r="B87" s="18"/>
      <c r="C87" s="18"/>
      <c r="D87" s="18"/>
      <c r="E87" s="18"/>
      <c r="F87" s="18"/>
      <c r="G87" s="19"/>
      <c r="H87" s="27"/>
      <c r="I87" s="27"/>
      <c r="J87" s="27"/>
      <c r="K87" s="27"/>
      <c r="L87" s="27"/>
      <c r="M87" s="21"/>
      <c r="N87" s="27"/>
      <c r="O87" s="27"/>
      <c r="P87" s="27"/>
      <c r="Q87" s="27"/>
      <c r="R87" s="27"/>
      <c r="S87" s="21"/>
      <c r="T87" s="28"/>
      <c r="U87" s="28"/>
      <c r="V87" s="28"/>
      <c r="W87" s="28"/>
      <c r="X87" s="28"/>
      <c r="Y87" s="19"/>
      <c r="Z87" s="18"/>
      <c r="AE87" s="19"/>
      <c r="AH87" s="24"/>
      <c r="AI87" s="30"/>
      <c r="AJ87" s="30"/>
      <c r="AK87" s="30"/>
      <c r="AL87" s="24"/>
      <c r="AM87" s="24"/>
    </row>
    <row r="88" ht="15.75" customHeight="1">
      <c r="B88" s="18"/>
      <c r="C88" s="18"/>
      <c r="D88" s="18"/>
      <c r="E88" s="18"/>
      <c r="F88" s="18"/>
      <c r="G88" s="19"/>
      <c r="H88" s="27"/>
      <c r="I88" s="27"/>
      <c r="J88" s="27"/>
      <c r="K88" s="27"/>
      <c r="L88" s="27"/>
      <c r="M88" s="21"/>
      <c r="N88" s="27"/>
      <c r="O88" s="27"/>
      <c r="P88" s="27"/>
      <c r="Q88" s="27"/>
      <c r="R88" s="27"/>
      <c r="S88" s="21"/>
      <c r="T88" s="28"/>
      <c r="U88" s="28"/>
      <c r="V88" s="28"/>
      <c r="W88" s="28"/>
      <c r="X88" s="28"/>
      <c r="Y88" s="19"/>
      <c r="Z88" s="18"/>
      <c r="AE88" s="19"/>
      <c r="AH88" s="24"/>
      <c r="AI88" s="30"/>
      <c r="AJ88" s="30"/>
      <c r="AK88" s="30"/>
      <c r="AL88" s="24"/>
      <c r="AM88" s="24"/>
    </row>
    <row r="89" ht="15.75" customHeight="1">
      <c r="B89" s="18"/>
      <c r="C89" s="18"/>
      <c r="D89" s="18"/>
      <c r="E89" s="18"/>
      <c r="F89" s="18"/>
      <c r="G89" s="19"/>
      <c r="H89" s="27"/>
      <c r="I89" s="27"/>
      <c r="J89" s="27"/>
      <c r="K89" s="27"/>
      <c r="L89" s="27"/>
      <c r="M89" s="21"/>
      <c r="N89" s="27"/>
      <c r="O89" s="27"/>
      <c r="P89" s="27"/>
      <c r="Q89" s="27"/>
      <c r="R89" s="27"/>
      <c r="S89" s="21"/>
      <c r="T89" s="28"/>
      <c r="U89" s="28"/>
      <c r="V89" s="28"/>
      <c r="W89" s="28"/>
      <c r="X89" s="28"/>
      <c r="Y89" s="19"/>
      <c r="Z89" s="18"/>
      <c r="AE89" s="19"/>
      <c r="AH89" s="24"/>
      <c r="AI89" s="30"/>
      <c r="AJ89" s="30"/>
      <c r="AK89" s="30"/>
      <c r="AL89" s="24"/>
      <c r="AM89" s="24"/>
    </row>
    <row r="90" ht="15.75" customHeight="1">
      <c r="B90" s="18"/>
      <c r="C90" s="18"/>
      <c r="D90" s="18"/>
      <c r="E90" s="18"/>
      <c r="F90" s="18"/>
      <c r="G90" s="19"/>
      <c r="H90" s="27"/>
      <c r="I90" s="27"/>
      <c r="J90" s="27"/>
      <c r="K90" s="27"/>
      <c r="L90" s="27"/>
      <c r="M90" s="21"/>
      <c r="N90" s="27"/>
      <c r="O90" s="27"/>
      <c r="P90" s="27"/>
      <c r="Q90" s="27"/>
      <c r="R90" s="27"/>
      <c r="S90" s="21"/>
      <c r="T90" s="28"/>
      <c r="U90" s="28"/>
      <c r="V90" s="28"/>
      <c r="W90" s="28"/>
      <c r="X90" s="28"/>
      <c r="Y90" s="19"/>
      <c r="Z90" s="18"/>
      <c r="AE90" s="19"/>
      <c r="AH90" s="24"/>
      <c r="AI90" s="30"/>
      <c r="AJ90" s="30"/>
      <c r="AK90" s="30"/>
      <c r="AL90" s="24"/>
      <c r="AM90" s="24"/>
    </row>
    <row r="91" ht="15.75" customHeight="1">
      <c r="B91" s="18"/>
      <c r="C91" s="18"/>
      <c r="D91" s="18"/>
      <c r="E91" s="18"/>
      <c r="F91" s="18"/>
      <c r="G91" s="19"/>
      <c r="H91" s="27"/>
      <c r="I91" s="27"/>
      <c r="J91" s="27"/>
      <c r="K91" s="27"/>
      <c r="L91" s="27"/>
      <c r="M91" s="21"/>
      <c r="N91" s="27"/>
      <c r="O91" s="27"/>
      <c r="P91" s="27"/>
      <c r="Q91" s="27"/>
      <c r="R91" s="27"/>
      <c r="S91" s="21"/>
      <c r="T91" s="28"/>
      <c r="U91" s="28"/>
      <c r="V91" s="28"/>
      <c r="W91" s="28"/>
      <c r="X91" s="28"/>
      <c r="Y91" s="19"/>
      <c r="Z91" s="18"/>
      <c r="AE91" s="19"/>
      <c r="AH91" s="24"/>
      <c r="AI91" s="30"/>
      <c r="AJ91" s="30"/>
      <c r="AK91" s="30"/>
      <c r="AL91" s="24"/>
      <c r="AM91" s="24"/>
    </row>
    <row r="92" ht="15.75" customHeight="1">
      <c r="B92" s="18"/>
      <c r="C92" s="18"/>
      <c r="D92" s="18"/>
      <c r="E92" s="18"/>
      <c r="F92" s="18"/>
      <c r="G92" s="19"/>
      <c r="H92" s="27"/>
      <c r="I92" s="27"/>
      <c r="J92" s="27"/>
      <c r="K92" s="27"/>
      <c r="L92" s="27"/>
      <c r="M92" s="21"/>
      <c r="N92" s="27"/>
      <c r="O92" s="27"/>
      <c r="P92" s="27"/>
      <c r="Q92" s="27"/>
      <c r="R92" s="27"/>
      <c r="S92" s="21"/>
      <c r="T92" s="28"/>
      <c r="U92" s="28"/>
      <c r="V92" s="28"/>
      <c r="W92" s="28"/>
      <c r="X92" s="28"/>
      <c r="Y92" s="19"/>
      <c r="Z92" s="18"/>
      <c r="AE92" s="19"/>
      <c r="AH92" s="24"/>
      <c r="AI92" s="30"/>
      <c r="AJ92" s="30"/>
      <c r="AK92" s="30"/>
      <c r="AL92" s="24"/>
      <c r="AM92" s="24"/>
    </row>
    <row r="93" ht="15.75" customHeight="1">
      <c r="B93" s="18"/>
      <c r="C93" s="18"/>
      <c r="D93" s="18"/>
      <c r="E93" s="18"/>
      <c r="F93" s="18"/>
      <c r="G93" s="19"/>
      <c r="H93" s="27"/>
      <c r="I93" s="27"/>
      <c r="J93" s="27"/>
      <c r="K93" s="27"/>
      <c r="L93" s="27"/>
      <c r="M93" s="21"/>
      <c r="N93" s="27"/>
      <c r="O93" s="27"/>
      <c r="P93" s="27"/>
      <c r="Q93" s="27"/>
      <c r="R93" s="27"/>
      <c r="S93" s="21"/>
      <c r="T93" s="28"/>
      <c r="U93" s="28"/>
      <c r="V93" s="28"/>
      <c r="W93" s="28"/>
      <c r="X93" s="28"/>
      <c r="Y93" s="19"/>
      <c r="Z93" s="18"/>
      <c r="AE93" s="19"/>
      <c r="AH93" s="24"/>
      <c r="AI93" s="30"/>
      <c r="AJ93" s="30"/>
      <c r="AK93" s="30"/>
      <c r="AL93" s="24"/>
      <c r="AM93" s="24"/>
    </row>
    <row r="94" ht="15.75" customHeight="1">
      <c r="B94" s="18"/>
      <c r="C94" s="18"/>
      <c r="D94" s="18"/>
      <c r="E94" s="18"/>
      <c r="F94" s="18"/>
      <c r="G94" s="19"/>
      <c r="H94" s="27"/>
      <c r="I94" s="27"/>
      <c r="J94" s="27"/>
      <c r="K94" s="27"/>
      <c r="L94" s="27"/>
      <c r="M94" s="21"/>
      <c r="N94" s="27"/>
      <c r="O94" s="27"/>
      <c r="P94" s="27"/>
      <c r="Q94" s="27"/>
      <c r="R94" s="27"/>
      <c r="S94" s="21"/>
      <c r="T94" s="28"/>
      <c r="U94" s="28"/>
      <c r="V94" s="28"/>
      <c r="W94" s="28"/>
      <c r="X94" s="28"/>
      <c r="Y94" s="19"/>
      <c r="Z94" s="18"/>
      <c r="AE94" s="19"/>
      <c r="AH94" s="24"/>
      <c r="AI94" s="30"/>
      <c r="AJ94" s="30"/>
      <c r="AK94" s="30"/>
      <c r="AL94" s="24"/>
      <c r="AM94" s="24"/>
    </row>
    <row r="95" ht="15.75" customHeight="1">
      <c r="B95" s="18"/>
      <c r="C95" s="18"/>
      <c r="D95" s="18"/>
      <c r="E95" s="18"/>
      <c r="F95" s="18"/>
      <c r="G95" s="19"/>
      <c r="H95" s="27"/>
      <c r="I95" s="27"/>
      <c r="J95" s="27"/>
      <c r="K95" s="27"/>
      <c r="L95" s="27"/>
      <c r="M95" s="21"/>
      <c r="N95" s="27"/>
      <c r="O95" s="27"/>
      <c r="P95" s="27"/>
      <c r="Q95" s="27"/>
      <c r="R95" s="27"/>
      <c r="S95" s="21"/>
      <c r="T95" s="28"/>
      <c r="U95" s="28"/>
      <c r="V95" s="28"/>
      <c r="W95" s="28"/>
      <c r="X95" s="28"/>
      <c r="Y95" s="19"/>
      <c r="Z95" s="18"/>
      <c r="AE95" s="19"/>
      <c r="AH95" s="24"/>
      <c r="AI95" s="30"/>
      <c r="AJ95" s="30"/>
      <c r="AK95" s="30"/>
      <c r="AL95" s="24"/>
      <c r="AM95" s="24"/>
    </row>
    <row r="96" ht="15.75" customHeight="1">
      <c r="B96" s="18"/>
      <c r="C96" s="18"/>
      <c r="D96" s="18"/>
      <c r="E96" s="18"/>
      <c r="F96" s="18"/>
      <c r="G96" s="19"/>
      <c r="H96" s="27"/>
      <c r="I96" s="27"/>
      <c r="J96" s="27"/>
      <c r="K96" s="27"/>
      <c r="L96" s="27"/>
      <c r="M96" s="21"/>
      <c r="N96" s="27"/>
      <c r="O96" s="27"/>
      <c r="P96" s="27"/>
      <c r="Q96" s="27"/>
      <c r="R96" s="27"/>
      <c r="S96" s="21"/>
      <c r="T96" s="28"/>
      <c r="U96" s="28"/>
      <c r="V96" s="28"/>
      <c r="W96" s="28"/>
      <c r="X96" s="28"/>
      <c r="Y96" s="19"/>
      <c r="Z96" s="18"/>
      <c r="AE96" s="19"/>
      <c r="AH96" s="24"/>
      <c r="AI96" s="30"/>
      <c r="AJ96" s="30"/>
      <c r="AK96" s="30"/>
      <c r="AL96" s="24"/>
      <c r="AM96" s="24"/>
    </row>
    <row r="97" ht="15.75" customHeight="1">
      <c r="B97" s="18"/>
      <c r="C97" s="18"/>
      <c r="D97" s="18"/>
      <c r="E97" s="18"/>
      <c r="F97" s="18"/>
      <c r="G97" s="19"/>
      <c r="H97" s="27"/>
      <c r="I97" s="27"/>
      <c r="J97" s="27"/>
      <c r="K97" s="27"/>
      <c r="L97" s="27"/>
      <c r="M97" s="21"/>
      <c r="N97" s="27"/>
      <c r="O97" s="27"/>
      <c r="P97" s="27"/>
      <c r="Q97" s="27"/>
      <c r="R97" s="27"/>
      <c r="S97" s="21"/>
      <c r="T97" s="28"/>
      <c r="U97" s="28"/>
      <c r="V97" s="28"/>
      <c r="W97" s="28"/>
      <c r="X97" s="28"/>
      <c r="Y97" s="19"/>
      <c r="Z97" s="18"/>
      <c r="AE97" s="19"/>
      <c r="AH97" s="24"/>
      <c r="AI97" s="30"/>
      <c r="AJ97" s="30"/>
      <c r="AK97" s="30"/>
      <c r="AL97" s="24"/>
      <c r="AM97" s="24"/>
    </row>
    <row r="98" ht="15.75" customHeight="1">
      <c r="B98" s="18"/>
      <c r="C98" s="18"/>
      <c r="D98" s="18"/>
      <c r="E98" s="18"/>
      <c r="F98" s="18"/>
      <c r="G98" s="19"/>
      <c r="H98" s="27"/>
      <c r="I98" s="27"/>
      <c r="J98" s="27"/>
      <c r="K98" s="27"/>
      <c r="L98" s="27"/>
      <c r="M98" s="21"/>
      <c r="N98" s="27"/>
      <c r="O98" s="27"/>
      <c r="P98" s="27"/>
      <c r="Q98" s="27"/>
      <c r="R98" s="27"/>
      <c r="S98" s="21"/>
      <c r="T98" s="28"/>
      <c r="U98" s="28"/>
      <c r="V98" s="28"/>
      <c r="W98" s="28"/>
      <c r="X98" s="28"/>
      <c r="Y98" s="19"/>
      <c r="Z98" s="18"/>
      <c r="AE98" s="19"/>
      <c r="AH98" s="24"/>
      <c r="AI98" s="30"/>
      <c r="AJ98" s="30"/>
      <c r="AK98" s="30"/>
      <c r="AL98" s="24"/>
      <c r="AM98" s="24"/>
    </row>
    <row r="99" ht="15.75" customHeight="1">
      <c r="B99" s="18"/>
      <c r="C99" s="18"/>
      <c r="D99" s="18"/>
      <c r="E99" s="18"/>
      <c r="F99" s="18"/>
      <c r="G99" s="19"/>
      <c r="H99" s="27"/>
      <c r="I99" s="27"/>
      <c r="J99" s="27"/>
      <c r="K99" s="27"/>
      <c r="L99" s="27"/>
      <c r="M99" s="21"/>
      <c r="N99" s="27"/>
      <c r="O99" s="27"/>
      <c r="P99" s="27"/>
      <c r="Q99" s="27"/>
      <c r="R99" s="27"/>
      <c r="S99" s="21"/>
      <c r="T99" s="28"/>
      <c r="U99" s="28"/>
      <c r="V99" s="28"/>
      <c r="W99" s="28"/>
      <c r="X99" s="28"/>
      <c r="Y99" s="19"/>
      <c r="Z99" s="18"/>
      <c r="AE99" s="19"/>
      <c r="AH99" s="24"/>
      <c r="AI99" s="30"/>
      <c r="AJ99" s="30"/>
      <c r="AK99" s="30"/>
      <c r="AL99" s="24"/>
      <c r="AM99" s="24"/>
    </row>
    <row r="100" ht="15.75" customHeight="1">
      <c r="B100" s="18"/>
      <c r="C100" s="18"/>
      <c r="D100" s="18"/>
      <c r="E100" s="18"/>
      <c r="F100" s="18"/>
      <c r="G100" s="19"/>
      <c r="H100" s="27"/>
      <c r="I100" s="27"/>
      <c r="J100" s="27"/>
      <c r="K100" s="27"/>
      <c r="L100" s="27"/>
      <c r="M100" s="21"/>
      <c r="N100" s="27"/>
      <c r="O100" s="27"/>
      <c r="P100" s="27"/>
      <c r="Q100" s="27"/>
      <c r="R100" s="27"/>
      <c r="S100" s="21"/>
      <c r="T100" s="28"/>
      <c r="U100" s="28"/>
      <c r="V100" s="28"/>
      <c r="W100" s="28"/>
      <c r="X100" s="28"/>
      <c r="Y100" s="19"/>
      <c r="Z100" s="18"/>
      <c r="AE100" s="19"/>
      <c r="AH100" s="24"/>
      <c r="AI100" s="30"/>
      <c r="AJ100" s="30"/>
      <c r="AK100" s="30"/>
      <c r="AL100" s="24"/>
      <c r="AM100" s="24"/>
    </row>
    <row r="101" ht="15.75" customHeight="1">
      <c r="B101" s="18"/>
      <c r="C101" s="18"/>
      <c r="D101" s="18"/>
      <c r="E101" s="18"/>
      <c r="F101" s="18"/>
      <c r="G101" s="19"/>
      <c r="H101" s="27"/>
      <c r="I101" s="27"/>
      <c r="J101" s="27"/>
      <c r="K101" s="27"/>
      <c r="L101" s="27"/>
      <c r="M101" s="21"/>
      <c r="N101" s="27"/>
      <c r="O101" s="27"/>
      <c r="P101" s="27"/>
      <c r="Q101" s="27"/>
      <c r="R101" s="27"/>
      <c r="S101" s="21"/>
      <c r="T101" s="28"/>
      <c r="U101" s="28"/>
      <c r="V101" s="28"/>
      <c r="W101" s="28"/>
      <c r="X101" s="28"/>
      <c r="Y101" s="19"/>
      <c r="Z101" s="18"/>
      <c r="AE101" s="19"/>
      <c r="AH101" s="24"/>
      <c r="AI101" s="30"/>
      <c r="AJ101" s="30"/>
      <c r="AK101" s="30"/>
      <c r="AL101" s="24"/>
      <c r="AM101" s="24"/>
    </row>
    <row r="102" ht="15.75" customHeight="1">
      <c r="B102" s="18"/>
      <c r="C102" s="18"/>
      <c r="D102" s="18"/>
      <c r="E102" s="18"/>
      <c r="F102" s="18"/>
      <c r="G102" s="19"/>
      <c r="H102" s="27"/>
      <c r="I102" s="27"/>
      <c r="J102" s="27"/>
      <c r="K102" s="27"/>
      <c r="L102" s="27"/>
      <c r="M102" s="21"/>
      <c r="N102" s="27"/>
      <c r="O102" s="27"/>
      <c r="P102" s="27"/>
      <c r="Q102" s="27"/>
      <c r="R102" s="27"/>
      <c r="S102" s="21"/>
      <c r="T102" s="28"/>
      <c r="U102" s="28"/>
      <c r="V102" s="28"/>
      <c r="W102" s="28"/>
      <c r="X102" s="28"/>
      <c r="Y102" s="19"/>
      <c r="Z102" s="18"/>
      <c r="AE102" s="19"/>
      <c r="AH102" s="24"/>
      <c r="AI102" s="30"/>
      <c r="AJ102" s="30"/>
      <c r="AK102" s="30"/>
      <c r="AL102" s="24"/>
      <c r="AM102" s="24"/>
    </row>
    <row r="103" ht="15.75" customHeight="1">
      <c r="B103" s="18"/>
      <c r="C103" s="18"/>
      <c r="D103" s="18"/>
      <c r="E103" s="18"/>
      <c r="F103" s="18"/>
      <c r="G103" s="19"/>
      <c r="H103" s="27"/>
      <c r="I103" s="27"/>
      <c r="J103" s="27"/>
      <c r="K103" s="27"/>
      <c r="L103" s="27"/>
      <c r="M103" s="21"/>
      <c r="N103" s="27"/>
      <c r="O103" s="27"/>
      <c r="P103" s="27"/>
      <c r="Q103" s="27"/>
      <c r="R103" s="27"/>
      <c r="S103" s="21"/>
      <c r="T103" s="28"/>
      <c r="U103" s="28"/>
      <c r="V103" s="28"/>
      <c r="W103" s="28"/>
      <c r="X103" s="28"/>
      <c r="Y103" s="19"/>
      <c r="Z103" s="18"/>
      <c r="AE103" s="19"/>
      <c r="AH103" s="24"/>
      <c r="AI103" s="30"/>
      <c r="AJ103" s="30"/>
      <c r="AK103" s="30"/>
      <c r="AL103" s="24"/>
      <c r="AM103" s="24"/>
    </row>
    <row r="104" ht="15.75" customHeight="1">
      <c r="B104" s="18"/>
      <c r="C104" s="18"/>
      <c r="D104" s="18"/>
      <c r="E104" s="18"/>
      <c r="F104" s="18"/>
      <c r="G104" s="19"/>
      <c r="H104" s="27"/>
      <c r="I104" s="27"/>
      <c r="J104" s="27"/>
      <c r="K104" s="27"/>
      <c r="L104" s="27"/>
      <c r="M104" s="21"/>
      <c r="N104" s="27"/>
      <c r="O104" s="27"/>
      <c r="P104" s="27"/>
      <c r="Q104" s="27"/>
      <c r="R104" s="27"/>
      <c r="S104" s="21"/>
      <c r="T104" s="28"/>
      <c r="U104" s="28"/>
      <c r="V104" s="28"/>
      <c r="W104" s="28"/>
      <c r="X104" s="28"/>
      <c r="Y104" s="19"/>
      <c r="Z104" s="18"/>
      <c r="AE104" s="19"/>
      <c r="AH104" s="24"/>
      <c r="AI104" s="30"/>
      <c r="AJ104" s="30"/>
      <c r="AK104" s="30"/>
      <c r="AL104" s="24"/>
      <c r="AM104" s="24"/>
    </row>
    <row r="105" ht="15.75" customHeight="1">
      <c r="B105" s="18"/>
      <c r="C105" s="18"/>
      <c r="D105" s="18"/>
      <c r="E105" s="18"/>
      <c r="F105" s="18"/>
      <c r="G105" s="19"/>
      <c r="H105" s="27"/>
      <c r="I105" s="27"/>
      <c r="J105" s="27"/>
      <c r="K105" s="27"/>
      <c r="L105" s="27"/>
      <c r="M105" s="21"/>
      <c r="N105" s="27"/>
      <c r="O105" s="27"/>
      <c r="P105" s="27"/>
      <c r="Q105" s="27"/>
      <c r="R105" s="27"/>
      <c r="S105" s="21"/>
      <c r="T105" s="28"/>
      <c r="U105" s="28"/>
      <c r="V105" s="28"/>
      <c r="W105" s="28"/>
      <c r="X105" s="28"/>
      <c r="Y105" s="19"/>
      <c r="Z105" s="18"/>
      <c r="AE105" s="19"/>
      <c r="AH105" s="24"/>
      <c r="AI105" s="30"/>
      <c r="AJ105" s="30"/>
      <c r="AK105" s="30"/>
      <c r="AL105" s="24"/>
      <c r="AM105" s="24"/>
    </row>
    <row r="106" ht="15.75" customHeight="1">
      <c r="B106" s="18"/>
      <c r="C106" s="18"/>
      <c r="D106" s="18"/>
      <c r="E106" s="18"/>
      <c r="F106" s="18"/>
      <c r="G106" s="19"/>
      <c r="H106" s="27"/>
      <c r="I106" s="27"/>
      <c r="J106" s="27"/>
      <c r="K106" s="27"/>
      <c r="L106" s="27"/>
      <c r="M106" s="21"/>
      <c r="N106" s="27"/>
      <c r="O106" s="27"/>
      <c r="P106" s="27"/>
      <c r="Q106" s="27"/>
      <c r="R106" s="27"/>
      <c r="S106" s="21"/>
      <c r="T106" s="28"/>
      <c r="U106" s="28"/>
      <c r="V106" s="28"/>
      <c r="W106" s="28"/>
      <c r="X106" s="28"/>
      <c r="Y106" s="19"/>
      <c r="Z106" s="18"/>
      <c r="AE106" s="19"/>
      <c r="AH106" s="24"/>
      <c r="AI106" s="30"/>
      <c r="AJ106" s="30"/>
      <c r="AK106" s="30"/>
      <c r="AL106" s="24"/>
      <c r="AM106" s="24"/>
    </row>
    <row r="107" ht="15.75" customHeight="1">
      <c r="B107" s="18"/>
      <c r="C107" s="18"/>
      <c r="D107" s="18"/>
      <c r="E107" s="18"/>
      <c r="F107" s="18"/>
      <c r="G107" s="19"/>
      <c r="H107" s="27"/>
      <c r="I107" s="27"/>
      <c r="J107" s="27"/>
      <c r="K107" s="27"/>
      <c r="L107" s="27"/>
      <c r="M107" s="21"/>
      <c r="N107" s="27"/>
      <c r="O107" s="27"/>
      <c r="P107" s="27"/>
      <c r="Q107" s="27"/>
      <c r="R107" s="27"/>
      <c r="S107" s="21"/>
      <c r="T107" s="28"/>
      <c r="U107" s="28"/>
      <c r="V107" s="28"/>
      <c r="W107" s="28"/>
      <c r="X107" s="28"/>
      <c r="Y107" s="19"/>
      <c r="Z107" s="18"/>
      <c r="AE107" s="19"/>
      <c r="AH107" s="24"/>
      <c r="AI107" s="30"/>
      <c r="AJ107" s="30"/>
      <c r="AK107" s="30"/>
      <c r="AL107" s="24"/>
      <c r="AM107" s="24"/>
    </row>
    <row r="108" ht="15.75" customHeight="1">
      <c r="B108" s="18"/>
      <c r="C108" s="18"/>
      <c r="D108" s="18"/>
      <c r="E108" s="18"/>
      <c r="F108" s="18"/>
      <c r="G108" s="19"/>
      <c r="H108" s="27"/>
      <c r="I108" s="27"/>
      <c r="J108" s="27"/>
      <c r="K108" s="27"/>
      <c r="L108" s="27"/>
      <c r="M108" s="21"/>
      <c r="N108" s="27"/>
      <c r="O108" s="27"/>
      <c r="P108" s="27"/>
      <c r="Q108" s="27"/>
      <c r="R108" s="27"/>
      <c r="S108" s="21"/>
      <c r="T108" s="28"/>
      <c r="U108" s="28"/>
      <c r="V108" s="28"/>
      <c r="W108" s="28"/>
      <c r="X108" s="28"/>
      <c r="Y108" s="19"/>
      <c r="Z108" s="18"/>
      <c r="AE108" s="19"/>
      <c r="AH108" s="24"/>
      <c r="AI108" s="30"/>
      <c r="AJ108" s="30"/>
      <c r="AK108" s="30"/>
      <c r="AL108" s="24"/>
      <c r="AM108" s="24"/>
    </row>
    <row r="109" ht="15.75" customHeight="1">
      <c r="B109" s="18"/>
      <c r="C109" s="18"/>
      <c r="D109" s="18"/>
      <c r="E109" s="18"/>
      <c r="F109" s="18"/>
      <c r="G109" s="19"/>
      <c r="H109" s="27"/>
      <c r="I109" s="27"/>
      <c r="J109" s="27"/>
      <c r="K109" s="27"/>
      <c r="L109" s="27"/>
      <c r="M109" s="21"/>
      <c r="N109" s="27"/>
      <c r="O109" s="27"/>
      <c r="P109" s="27"/>
      <c r="Q109" s="27"/>
      <c r="R109" s="27"/>
      <c r="S109" s="21"/>
      <c r="T109" s="28"/>
      <c r="U109" s="28"/>
      <c r="V109" s="28"/>
      <c r="W109" s="28"/>
      <c r="X109" s="28"/>
      <c r="Y109" s="19"/>
      <c r="Z109" s="18"/>
      <c r="AE109" s="19"/>
      <c r="AH109" s="24"/>
      <c r="AI109" s="30"/>
      <c r="AJ109" s="30"/>
      <c r="AK109" s="30"/>
      <c r="AL109" s="24"/>
      <c r="AM109" s="24"/>
    </row>
    <row r="110" ht="15.75" customHeight="1">
      <c r="B110" s="18"/>
      <c r="C110" s="18"/>
      <c r="D110" s="18"/>
      <c r="E110" s="18"/>
      <c r="F110" s="18"/>
      <c r="G110" s="19"/>
      <c r="H110" s="27"/>
      <c r="I110" s="27"/>
      <c r="J110" s="27"/>
      <c r="K110" s="27"/>
      <c r="L110" s="27"/>
      <c r="M110" s="21"/>
      <c r="N110" s="27"/>
      <c r="O110" s="27"/>
      <c r="P110" s="27"/>
      <c r="Q110" s="27"/>
      <c r="R110" s="27"/>
      <c r="S110" s="21"/>
      <c r="T110" s="28"/>
      <c r="U110" s="28"/>
      <c r="V110" s="28"/>
      <c r="W110" s="28"/>
      <c r="X110" s="28"/>
      <c r="Y110" s="19"/>
      <c r="Z110" s="18"/>
      <c r="AE110" s="19"/>
      <c r="AH110" s="24"/>
      <c r="AI110" s="30"/>
      <c r="AJ110" s="30"/>
      <c r="AK110" s="30"/>
      <c r="AL110" s="24"/>
      <c r="AM110" s="24"/>
    </row>
    <row r="111" ht="15.75" customHeight="1">
      <c r="B111" s="18"/>
      <c r="C111" s="18"/>
      <c r="D111" s="18"/>
      <c r="E111" s="18"/>
      <c r="F111" s="18"/>
      <c r="G111" s="19"/>
      <c r="H111" s="27"/>
      <c r="I111" s="27"/>
      <c r="J111" s="27"/>
      <c r="K111" s="27"/>
      <c r="L111" s="27"/>
      <c r="M111" s="21"/>
      <c r="N111" s="27"/>
      <c r="O111" s="27"/>
      <c r="P111" s="27"/>
      <c r="Q111" s="27"/>
      <c r="R111" s="27"/>
      <c r="S111" s="21"/>
      <c r="T111" s="28"/>
      <c r="U111" s="28"/>
      <c r="V111" s="28"/>
      <c r="W111" s="28"/>
      <c r="X111" s="28"/>
      <c r="Y111" s="19"/>
      <c r="Z111" s="18"/>
      <c r="AE111" s="19"/>
      <c r="AH111" s="24"/>
      <c r="AI111" s="30"/>
      <c r="AJ111" s="30"/>
      <c r="AK111" s="30"/>
      <c r="AL111" s="24"/>
      <c r="AM111" s="24"/>
    </row>
    <row r="112" ht="15.75" customHeight="1">
      <c r="B112" s="18"/>
      <c r="C112" s="18"/>
      <c r="D112" s="18"/>
      <c r="E112" s="18"/>
      <c r="F112" s="18"/>
      <c r="G112" s="19"/>
      <c r="H112" s="27"/>
      <c r="I112" s="27"/>
      <c r="J112" s="27"/>
      <c r="K112" s="27"/>
      <c r="L112" s="27"/>
      <c r="M112" s="21"/>
      <c r="N112" s="27"/>
      <c r="O112" s="27"/>
      <c r="P112" s="27"/>
      <c r="Q112" s="27"/>
      <c r="R112" s="27"/>
      <c r="S112" s="21"/>
      <c r="T112" s="28"/>
      <c r="U112" s="28"/>
      <c r="V112" s="28"/>
      <c r="W112" s="28"/>
      <c r="X112" s="28"/>
      <c r="Y112" s="19"/>
      <c r="Z112" s="18"/>
      <c r="AE112" s="19"/>
      <c r="AH112" s="24"/>
      <c r="AI112" s="30"/>
      <c r="AJ112" s="30"/>
      <c r="AK112" s="30"/>
      <c r="AL112" s="24"/>
      <c r="AM112" s="24"/>
    </row>
    <row r="113" ht="15.75" customHeight="1">
      <c r="B113" s="18"/>
      <c r="C113" s="18"/>
      <c r="D113" s="18"/>
      <c r="E113" s="18"/>
      <c r="F113" s="18"/>
      <c r="G113" s="19"/>
      <c r="H113" s="27"/>
      <c r="I113" s="27"/>
      <c r="J113" s="27"/>
      <c r="K113" s="27"/>
      <c r="L113" s="27"/>
      <c r="M113" s="21"/>
      <c r="N113" s="27"/>
      <c r="O113" s="27"/>
      <c r="P113" s="27"/>
      <c r="Q113" s="27"/>
      <c r="R113" s="27"/>
      <c r="S113" s="21"/>
      <c r="T113" s="28"/>
      <c r="U113" s="28"/>
      <c r="V113" s="28"/>
      <c r="W113" s="28"/>
      <c r="X113" s="28"/>
      <c r="Y113" s="19"/>
      <c r="Z113" s="18"/>
      <c r="AE113" s="19"/>
      <c r="AH113" s="24"/>
      <c r="AI113" s="30"/>
      <c r="AJ113" s="30"/>
      <c r="AK113" s="30"/>
      <c r="AL113" s="24"/>
      <c r="AM113" s="24"/>
    </row>
    <row r="114" ht="15.75" customHeight="1">
      <c r="B114" s="18"/>
      <c r="C114" s="18"/>
      <c r="D114" s="18"/>
      <c r="E114" s="18"/>
      <c r="F114" s="18"/>
      <c r="G114" s="19"/>
      <c r="H114" s="27"/>
      <c r="I114" s="27"/>
      <c r="J114" s="27"/>
      <c r="K114" s="27"/>
      <c r="L114" s="27"/>
      <c r="M114" s="21"/>
      <c r="N114" s="27"/>
      <c r="O114" s="27"/>
      <c r="P114" s="27"/>
      <c r="Q114" s="27"/>
      <c r="R114" s="27"/>
      <c r="S114" s="21"/>
      <c r="T114" s="28"/>
      <c r="U114" s="28"/>
      <c r="V114" s="28"/>
      <c r="W114" s="28"/>
      <c r="X114" s="28"/>
      <c r="Y114" s="19"/>
      <c r="Z114" s="18"/>
      <c r="AE114" s="19"/>
      <c r="AH114" s="24"/>
      <c r="AI114" s="30"/>
      <c r="AJ114" s="30"/>
      <c r="AK114" s="30"/>
      <c r="AL114" s="24"/>
      <c r="AM114" s="24"/>
    </row>
    <row r="115" ht="15.75" customHeight="1">
      <c r="B115" s="18"/>
      <c r="C115" s="18"/>
      <c r="D115" s="18"/>
      <c r="E115" s="18"/>
      <c r="F115" s="18"/>
      <c r="G115" s="19"/>
      <c r="H115" s="27"/>
      <c r="I115" s="27"/>
      <c r="J115" s="27"/>
      <c r="K115" s="27"/>
      <c r="L115" s="27"/>
      <c r="M115" s="21"/>
      <c r="N115" s="27"/>
      <c r="O115" s="27"/>
      <c r="P115" s="27"/>
      <c r="Q115" s="27"/>
      <c r="R115" s="27"/>
      <c r="S115" s="21"/>
      <c r="T115" s="28"/>
      <c r="U115" s="28"/>
      <c r="V115" s="28"/>
      <c r="W115" s="28"/>
      <c r="X115" s="28"/>
      <c r="Y115" s="19"/>
      <c r="Z115" s="18"/>
      <c r="AE115" s="19"/>
      <c r="AH115" s="24"/>
      <c r="AI115" s="30"/>
      <c r="AJ115" s="30"/>
      <c r="AK115" s="30"/>
      <c r="AL115" s="24"/>
      <c r="AM115" s="24"/>
    </row>
    <row r="116" ht="15.75" customHeight="1">
      <c r="B116" s="18"/>
      <c r="C116" s="18"/>
      <c r="D116" s="18"/>
      <c r="E116" s="18"/>
      <c r="F116" s="18"/>
      <c r="G116" s="19"/>
      <c r="H116" s="27"/>
      <c r="I116" s="27"/>
      <c r="J116" s="27"/>
      <c r="K116" s="27"/>
      <c r="L116" s="27"/>
      <c r="M116" s="21"/>
      <c r="N116" s="27"/>
      <c r="O116" s="27"/>
      <c r="P116" s="27"/>
      <c r="Q116" s="27"/>
      <c r="R116" s="27"/>
      <c r="S116" s="21"/>
      <c r="T116" s="28"/>
      <c r="U116" s="28"/>
      <c r="V116" s="28"/>
      <c r="W116" s="28"/>
      <c r="X116" s="28"/>
      <c r="Y116" s="19"/>
      <c r="Z116" s="18"/>
      <c r="AE116" s="19"/>
      <c r="AH116" s="24"/>
      <c r="AI116" s="30"/>
      <c r="AJ116" s="30"/>
      <c r="AK116" s="30"/>
      <c r="AL116" s="24"/>
      <c r="AM116" s="24"/>
    </row>
    <row r="117" ht="15.75" customHeight="1">
      <c r="B117" s="18"/>
      <c r="C117" s="18"/>
      <c r="D117" s="18"/>
      <c r="E117" s="18"/>
      <c r="F117" s="18"/>
      <c r="G117" s="19"/>
      <c r="H117" s="27"/>
      <c r="I117" s="27"/>
      <c r="J117" s="27"/>
      <c r="K117" s="27"/>
      <c r="L117" s="27"/>
      <c r="M117" s="21"/>
      <c r="N117" s="27"/>
      <c r="O117" s="27"/>
      <c r="P117" s="27"/>
      <c r="Q117" s="27"/>
      <c r="R117" s="27"/>
      <c r="S117" s="21"/>
      <c r="T117" s="28"/>
      <c r="U117" s="28"/>
      <c r="V117" s="28"/>
      <c r="W117" s="28"/>
      <c r="X117" s="28"/>
      <c r="Y117" s="19"/>
      <c r="Z117" s="18"/>
      <c r="AE117" s="19"/>
      <c r="AH117" s="24"/>
      <c r="AI117" s="30"/>
      <c r="AJ117" s="30"/>
      <c r="AK117" s="30"/>
      <c r="AL117" s="24"/>
      <c r="AM117" s="24"/>
    </row>
    <row r="118" ht="15.75" customHeight="1">
      <c r="B118" s="18"/>
      <c r="C118" s="18"/>
      <c r="D118" s="18"/>
      <c r="E118" s="18"/>
      <c r="F118" s="18"/>
      <c r="G118" s="19"/>
      <c r="H118" s="27"/>
      <c r="I118" s="27"/>
      <c r="J118" s="27"/>
      <c r="K118" s="27"/>
      <c r="L118" s="27"/>
      <c r="M118" s="21"/>
      <c r="N118" s="27"/>
      <c r="O118" s="27"/>
      <c r="P118" s="27"/>
      <c r="Q118" s="27"/>
      <c r="R118" s="27"/>
      <c r="S118" s="21"/>
      <c r="T118" s="28"/>
      <c r="U118" s="28"/>
      <c r="V118" s="28"/>
      <c r="W118" s="28"/>
      <c r="X118" s="28"/>
      <c r="Y118" s="19"/>
      <c r="Z118" s="18"/>
      <c r="AE118" s="19"/>
      <c r="AH118" s="24"/>
      <c r="AI118" s="30"/>
      <c r="AJ118" s="30"/>
      <c r="AK118" s="30"/>
      <c r="AL118" s="24"/>
      <c r="AM118" s="24"/>
    </row>
    <row r="119" ht="15.75" customHeight="1">
      <c r="B119" s="18"/>
      <c r="C119" s="18"/>
      <c r="D119" s="18"/>
      <c r="E119" s="18"/>
      <c r="F119" s="18"/>
      <c r="G119" s="19"/>
      <c r="H119" s="27"/>
      <c r="I119" s="27"/>
      <c r="J119" s="27"/>
      <c r="K119" s="27"/>
      <c r="L119" s="27"/>
      <c r="M119" s="21"/>
      <c r="N119" s="27"/>
      <c r="O119" s="27"/>
      <c r="P119" s="27"/>
      <c r="Q119" s="27"/>
      <c r="R119" s="27"/>
      <c r="S119" s="21"/>
      <c r="T119" s="28"/>
      <c r="U119" s="28"/>
      <c r="V119" s="28"/>
      <c r="W119" s="28"/>
      <c r="X119" s="28"/>
      <c r="Y119" s="19"/>
      <c r="Z119" s="18"/>
      <c r="AE119" s="19"/>
      <c r="AH119" s="24"/>
      <c r="AI119" s="30"/>
      <c r="AJ119" s="30"/>
      <c r="AK119" s="30"/>
      <c r="AL119" s="24"/>
      <c r="AM119" s="24"/>
    </row>
    <row r="120" ht="15.75" customHeight="1">
      <c r="B120" s="18"/>
      <c r="C120" s="18"/>
      <c r="D120" s="18"/>
      <c r="E120" s="18"/>
      <c r="F120" s="18"/>
      <c r="G120" s="19"/>
      <c r="H120" s="27"/>
      <c r="I120" s="27"/>
      <c r="J120" s="27"/>
      <c r="K120" s="27"/>
      <c r="L120" s="27"/>
      <c r="M120" s="21"/>
      <c r="N120" s="27"/>
      <c r="O120" s="27"/>
      <c r="P120" s="27"/>
      <c r="Q120" s="27"/>
      <c r="R120" s="27"/>
      <c r="S120" s="21"/>
      <c r="T120" s="28"/>
      <c r="U120" s="28"/>
      <c r="V120" s="28"/>
      <c r="W120" s="28"/>
      <c r="X120" s="28"/>
      <c r="Y120" s="19"/>
      <c r="Z120" s="18"/>
      <c r="AE120" s="19"/>
      <c r="AH120" s="24"/>
      <c r="AI120" s="30"/>
      <c r="AJ120" s="30"/>
      <c r="AK120" s="30"/>
      <c r="AL120" s="24"/>
      <c r="AM120" s="24"/>
    </row>
    <row r="121" ht="15.75" customHeight="1">
      <c r="B121" s="18"/>
      <c r="C121" s="18"/>
      <c r="D121" s="18"/>
      <c r="E121" s="18"/>
      <c r="F121" s="18"/>
      <c r="G121" s="19"/>
      <c r="H121" s="27"/>
      <c r="I121" s="27"/>
      <c r="J121" s="27"/>
      <c r="K121" s="27"/>
      <c r="L121" s="27"/>
      <c r="M121" s="21"/>
      <c r="N121" s="27"/>
      <c r="O121" s="27"/>
      <c r="P121" s="27"/>
      <c r="Q121" s="27"/>
      <c r="R121" s="27"/>
      <c r="S121" s="21"/>
      <c r="T121" s="28"/>
      <c r="U121" s="28"/>
      <c r="V121" s="28"/>
      <c r="W121" s="28"/>
      <c r="X121" s="28"/>
      <c r="Y121" s="19"/>
      <c r="Z121" s="18"/>
      <c r="AE121" s="19"/>
      <c r="AH121" s="24"/>
      <c r="AI121" s="30"/>
      <c r="AJ121" s="30"/>
      <c r="AK121" s="30"/>
      <c r="AL121" s="24"/>
      <c r="AM121" s="24"/>
    </row>
    <row r="122" ht="15.75" customHeight="1">
      <c r="B122" s="18"/>
      <c r="C122" s="18"/>
      <c r="D122" s="18"/>
      <c r="E122" s="18"/>
      <c r="F122" s="18"/>
      <c r="G122" s="19"/>
      <c r="H122" s="27"/>
      <c r="I122" s="27"/>
      <c r="J122" s="27"/>
      <c r="K122" s="27"/>
      <c r="L122" s="27"/>
      <c r="M122" s="21"/>
      <c r="N122" s="27"/>
      <c r="O122" s="27"/>
      <c r="P122" s="27"/>
      <c r="Q122" s="27"/>
      <c r="R122" s="27"/>
      <c r="S122" s="21"/>
      <c r="T122" s="28"/>
      <c r="U122" s="28"/>
      <c r="V122" s="28"/>
      <c r="W122" s="28"/>
      <c r="X122" s="28"/>
      <c r="Y122" s="19"/>
      <c r="Z122" s="18"/>
      <c r="AE122" s="19"/>
      <c r="AH122" s="24"/>
      <c r="AI122" s="30"/>
      <c r="AJ122" s="30"/>
      <c r="AK122" s="30"/>
      <c r="AL122" s="24"/>
      <c r="AM122" s="24"/>
    </row>
    <row r="123" ht="15.75" customHeight="1">
      <c r="B123" s="18"/>
      <c r="C123" s="18"/>
      <c r="D123" s="18"/>
      <c r="E123" s="18"/>
      <c r="F123" s="18"/>
      <c r="G123" s="19"/>
      <c r="H123" s="27"/>
      <c r="I123" s="27"/>
      <c r="J123" s="27"/>
      <c r="K123" s="27"/>
      <c r="L123" s="27"/>
      <c r="M123" s="21"/>
      <c r="N123" s="27"/>
      <c r="O123" s="27"/>
      <c r="P123" s="27"/>
      <c r="Q123" s="27"/>
      <c r="R123" s="27"/>
      <c r="S123" s="21"/>
      <c r="T123" s="28"/>
      <c r="U123" s="28"/>
      <c r="V123" s="28"/>
      <c r="W123" s="28"/>
      <c r="X123" s="28"/>
      <c r="Y123" s="19"/>
      <c r="Z123" s="18"/>
      <c r="AE123" s="19"/>
      <c r="AH123" s="24"/>
      <c r="AI123" s="30"/>
      <c r="AJ123" s="30"/>
      <c r="AK123" s="30"/>
      <c r="AL123" s="24"/>
      <c r="AM123" s="24"/>
    </row>
    <row r="124" ht="15.75" customHeight="1">
      <c r="B124" s="18"/>
      <c r="C124" s="18"/>
      <c r="D124" s="18"/>
      <c r="E124" s="18"/>
      <c r="F124" s="18"/>
      <c r="G124" s="19"/>
      <c r="H124" s="27"/>
      <c r="I124" s="27"/>
      <c r="J124" s="27"/>
      <c r="K124" s="27"/>
      <c r="L124" s="27"/>
      <c r="M124" s="21"/>
      <c r="N124" s="27"/>
      <c r="O124" s="27"/>
      <c r="P124" s="27"/>
      <c r="Q124" s="27"/>
      <c r="R124" s="27"/>
      <c r="S124" s="21"/>
      <c r="T124" s="28"/>
      <c r="U124" s="28"/>
      <c r="V124" s="28"/>
      <c r="W124" s="28"/>
      <c r="X124" s="28"/>
      <c r="Y124" s="19"/>
      <c r="Z124" s="18"/>
      <c r="AE124" s="19"/>
      <c r="AH124" s="24"/>
      <c r="AI124" s="30"/>
      <c r="AJ124" s="30"/>
      <c r="AK124" s="30"/>
      <c r="AL124" s="24"/>
      <c r="AM124" s="24"/>
    </row>
    <row r="125" ht="15.75" customHeight="1">
      <c r="B125" s="18"/>
      <c r="C125" s="18"/>
      <c r="D125" s="18"/>
      <c r="E125" s="18"/>
      <c r="F125" s="18"/>
      <c r="G125" s="19"/>
      <c r="H125" s="27"/>
      <c r="I125" s="27"/>
      <c r="J125" s="27"/>
      <c r="K125" s="27"/>
      <c r="L125" s="27"/>
      <c r="M125" s="21"/>
      <c r="N125" s="27"/>
      <c r="O125" s="27"/>
      <c r="P125" s="27"/>
      <c r="Q125" s="27"/>
      <c r="R125" s="27"/>
      <c r="S125" s="21"/>
      <c r="T125" s="28"/>
      <c r="U125" s="28"/>
      <c r="V125" s="28"/>
      <c r="W125" s="28"/>
      <c r="X125" s="28"/>
      <c r="Y125" s="19"/>
      <c r="Z125" s="18"/>
      <c r="AE125" s="19"/>
      <c r="AH125" s="24"/>
      <c r="AI125" s="30"/>
      <c r="AJ125" s="30"/>
      <c r="AK125" s="30"/>
      <c r="AL125" s="24"/>
      <c r="AM125" s="24"/>
    </row>
    <row r="126" ht="15.75" customHeight="1">
      <c r="B126" s="18"/>
      <c r="C126" s="18"/>
      <c r="D126" s="18"/>
      <c r="E126" s="18"/>
      <c r="F126" s="18"/>
      <c r="G126" s="19"/>
      <c r="H126" s="27"/>
      <c r="I126" s="27"/>
      <c r="J126" s="27"/>
      <c r="K126" s="27"/>
      <c r="L126" s="27"/>
      <c r="M126" s="21"/>
      <c r="N126" s="27"/>
      <c r="O126" s="27"/>
      <c r="P126" s="27"/>
      <c r="Q126" s="27"/>
      <c r="R126" s="27"/>
      <c r="S126" s="21"/>
      <c r="T126" s="28"/>
      <c r="U126" s="28"/>
      <c r="V126" s="28"/>
      <c r="W126" s="28"/>
      <c r="X126" s="28"/>
      <c r="Y126" s="19"/>
      <c r="Z126" s="18"/>
      <c r="AE126" s="19"/>
      <c r="AH126" s="24"/>
      <c r="AI126" s="30"/>
      <c r="AJ126" s="30"/>
      <c r="AK126" s="30"/>
      <c r="AL126" s="24"/>
      <c r="AM126" s="24"/>
    </row>
    <row r="127" ht="15.75" customHeight="1">
      <c r="B127" s="18"/>
      <c r="C127" s="18"/>
      <c r="D127" s="18"/>
      <c r="E127" s="18"/>
      <c r="F127" s="18"/>
      <c r="G127" s="19"/>
      <c r="H127" s="27"/>
      <c r="I127" s="27"/>
      <c r="J127" s="27"/>
      <c r="K127" s="27"/>
      <c r="L127" s="27"/>
      <c r="M127" s="21"/>
      <c r="N127" s="27"/>
      <c r="O127" s="27"/>
      <c r="P127" s="27"/>
      <c r="Q127" s="27"/>
      <c r="R127" s="27"/>
      <c r="S127" s="21"/>
      <c r="T127" s="28"/>
      <c r="U127" s="28"/>
      <c r="V127" s="28"/>
      <c r="W127" s="28"/>
      <c r="X127" s="28"/>
      <c r="Y127" s="19"/>
      <c r="Z127" s="18"/>
      <c r="AE127" s="19"/>
      <c r="AH127" s="24"/>
      <c r="AI127" s="30"/>
      <c r="AJ127" s="30"/>
      <c r="AK127" s="30"/>
      <c r="AL127" s="24"/>
      <c r="AM127" s="24"/>
    </row>
    <row r="128" ht="15.75" customHeight="1">
      <c r="B128" s="18"/>
      <c r="C128" s="18"/>
      <c r="D128" s="18"/>
      <c r="E128" s="18"/>
      <c r="F128" s="18"/>
      <c r="G128" s="19"/>
      <c r="H128" s="27"/>
      <c r="I128" s="27"/>
      <c r="J128" s="27"/>
      <c r="K128" s="27"/>
      <c r="L128" s="27"/>
      <c r="M128" s="21"/>
      <c r="N128" s="27"/>
      <c r="O128" s="27"/>
      <c r="P128" s="27"/>
      <c r="Q128" s="27"/>
      <c r="R128" s="27"/>
      <c r="S128" s="21"/>
      <c r="T128" s="28"/>
      <c r="U128" s="28"/>
      <c r="V128" s="28"/>
      <c r="W128" s="28"/>
      <c r="X128" s="28"/>
      <c r="Y128" s="19"/>
      <c r="Z128" s="18"/>
      <c r="AE128" s="19"/>
      <c r="AH128" s="24"/>
      <c r="AI128" s="30"/>
      <c r="AJ128" s="30"/>
      <c r="AK128" s="30"/>
      <c r="AL128" s="24"/>
      <c r="AM128" s="24"/>
    </row>
    <row r="129" ht="15.75" customHeight="1">
      <c r="B129" s="18"/>
      <c r="C129" s="18"/>
      <c r="D129" s="18"/>
      <c r="E129" s="18"/>
      <c r="F129" s="18"/>
      <c r="G129" s="19"/>
      <c r="H129" s="27"/>
      <c r="I129" s="27"/>
      <c r="J129" s="27"/>
      <c r="K129" s="27"/>
      <c r="L129" s="27"/>
      <c r="M129" s="21"/>
      <c r="N129" s="27"/>
      <c r="O129" s="27"/>
      <c r="P129" s="27"/>
      <c r="Q129" s="27"/>
      <c r="R129" s="27"/>
      <c r="S129" s="21"/>
      <c r="T129" s="28"/>
      <c r="U129" s="28"/>
      <c r="V129" s="28"/>
      <c r="W129" s="28"/>
      <c r="X129" s="28"/>
      <c r="Y129" s="19"/>
      <c r="Z129" s="18"/>
      <c r="AE129" s="19"/>
      <c r="AH129" s="24"/>
      <c r="AI129" s="30"/>
      <c r="AJ129" s="30"/>
      <c r="AK129" s="30"/>
      <c r="AL129" s="24"/>
      <c r="AM129" s="24"/>
    </row>
    <row r="130" ht="15.75" customHeight="1">
      <c r="B130" s="18"/>
      <c r="C130" s="18"/>
      <c r="D130" s="18"/>
      <c r="E130" s="18"/>
      <c r="F130" s="18"/>
      <c r="G130" s="19"/>
      <c r="H130" s="27"/>
      <c r="I130" s="27"/>
      <c r="J130" s="27"/>
      <c r="K130" s="27"/>
      <c r="L130" s="27"/>
      <c r="M130" s="21"/>
      <c r="N130" s="27"/>
      <c r="O130" s="27"/>
      <c r="P130" s="27"/>
      <c r="Q130" s="27"/>
      <c r="R130" s="27"/>
      <c r="S130" s="21"/>
      <c r="T130" s="28"/>
      <c r="U130" s="28"/>
      <c r="V130" s="28"/>
      <c r="W130" s="28"/>
      <c r="X130" s="28"/>
      <c r="Y130" s="19"/>
      <c r="Z130" s="18"/>
      <c r="AE130" s="19"/>
      <c r="AH130" s="24"/>
      <c r="AI130" s="30"/>
      <c r="AJ130" s="30"/>
      <c r="AK130" s="30"/>
      <c r="AL130" s="24"/>
      <c r="AM130" s="24"/>
    </row>
    <row r="131" ht="15.75" customHeight="1">
      <c r="B131" s="18"/>
      <c r="C131" s="18"/>
      <c r="D131" s="18"/>
      <c r="E131" s="18"/>
      <c r="F131" s="18"/>
      <c r="G131" s="19"/>
      <c r="H131" s="27"/>
      <c r="I131" s="27"/>
      <c r="J131" s="27"/>
      <c r="K131" s="27"/>
      <c r="L131" s="27"/>
      <c r="M131" s="21"/>
      <c r="N131" s="27"/>
      <c r="O131" s="27"/>
      <c r="P131" s="27"/>
      <c r="Q131" s="27"/>
      <c r="R131" s="27"/>
      <c r="S131" s="21"/>
      <c r="T131" s="28"/>
      <c r="U131" s="28"/>
      <c r="V131" s="28"/>
      <c r="W131" s="28"/>
      <c r="X131" s="28"/>
      <c r="Y131" s="19"/>
      <c r="Z131" s="18"/>
      <c r="AE131" s="19"/>
      <c r="AH131" s="24"/>
      <c r="AI131" s="30"/>
      <c r="AJ131" s="30"/>
      <c r="AK131" s="30"/>
      <c r="AL131" s="24"/>
      <c r="AM131" s="24"/>
    </row>
    <row r="132" ht="15.75" customHeight="1">
      <c r="B132" s="18"/>
      <c r="C132" s="18"/>
      <c r="D132" s="18"/>
      <c r="E132" s="18"/>
      <c r="F132" s="18"/>
      <c r="G132" s="19"/>
      <c r="H132" s="27"/>
      <c r="I132" s="27"/>
      <c r="J132" s="27"/>
      <c r="K132" s="27"/>
      <c r="L132" s="27"/>
      <c r="M132" s="21"/>
      <c r="N132" s="27"/>
      <c r="O132" s="27"/>
      <c r="P132" s="27"/>
      <c r="Q132" s="27"/>
      <c r="R132" s="27"/>
      <c r="S132" s="21"/>
      <c r="T132" s="28"/>
      <c r="U132" s="28"/>
      <c r="V132" s="28"/>
      <c r="W132" s="28"/>
      <c r="X132" s="28"/>
      <c r="Y132" s="19"/>
      <c r="Z132" s="18"/>
      <c r="AE132" s="19"/>
      <c r="AH132" s="24"/>
      <c r="AI132" s="30"/>
      <c r="AJ132" s="30"/>
      <c r="AK132" s="30"/>
      <c r="AL132" s="24"/>
      <c r="AM132" s="24"/>
    </row>
    <row r="133" ht="15.75" customHeight="1">
      <c r="B133" s="18"/>
      <c r="C133" s="18"/>
      <c r="D133" s="18"/>
      <c r="E133" s="18"/>
      <c r="F133" s="18"/>
      <c r="G133" s="19"/>
      <c r="H133" s="27"/>
      <c r="I133" s="27"/>
      <c r="J133" s="27"/>
      <c r="K133" s="27"/>
      <c r="L133" s="27"/>
      <c r="M133" s="21"/>
      <c r="N133" s="27"/>
      <c r="O133" s="27"/>
      <c r="P133" s="27"/>
      <c r="Q133" s="27"/>
      <c r="R133" s="27"/>
      <c r="S133" s="21"/>
      <c r="T133" s="28"/>
      <c r="U133" s="28"/>
      <c r="V133" s="28"/>
      <c r="W133" s="28"/>
      <c r="X133" s="28"/>
      <c r="Y133" s="19"/>
      <c r="Z133" s="18"/>
      <c r="AE133" s="19"/>
      <c r="AH133" s="24"/>
      <c r="AI133" s="30"/>
      <c r="AJ133" s="30"/>
      <c r="AK133" s="30"/>
      <c r="AL133" s="24"/>
      <c r="AM133" s="24"/>
    </row>
    <row r="134" ht="15.75" customHeight="1">
      <c r="B134" s="18"/>
      <c r="C134" s="18"/>
      <c r="D134" s="18"/>
      <c r="E134" s="18"/>
      <c r="F134" s="18"/>
      <c r="G134" s="19"/>
      <c r="H134" s="27"/>
      <c r="I134" s="27"/>
      <c r="J134" s="27"/>
      <c r="K134" s="27"/>
      <c r="L134" s="27"/>
      <c r="M134" s="21"/>
      <c r="N134" s="27"/>
      <c r="O134" s="27"/>
      <c r="P134" s="27"/>
      <c r="Q134" s="27"/>
      <c r="R134" s="27"/>
      <c r="S134" s="21"/>
      <c r="T134" s="28"/>
      <c r="U134" s="28"/>
      <c r="V134" s="28"/>
      <c r="W134" s="28"/>
      <c r="X134" s="28"/>
      <c r="Y134" s="19"/>
      <c r="Z134" s="18"/>
      <c r="AE134" s="19"/>
      <c r="AH134" s="24"/>
      <c r="AI134" s="30"/>
      <c r="AJ134" s="30"/>
      <c r="AK134" s="30"/>
      <c r="AL134" s="24"/>
      <c r="AM134" s="24"/>
    </row>
    <row r="135" ht="15.75" customHeight="1">
      <c r="B135" s="18"/>
      <c r="C135" s="18"/>
      <c r="D135" s="18"/>
      <c r="E135" s="18"/>
      <c r="F135" s="18"/>
      <c r="G135" s="19"/>
      <c r="H135" s="27"/>
      <c r="I135" s="27"/>
      <c r="J135" s="27"/>
      <c r="K135" s="27"/>
      <c r="L135" s="27"/>
      <c r="M135" s="21"/>
      <c r="N135" s="27"/>
      <c r="O135" s="27"/>
      <c r="P135" s="27"/>
      <c r="Q135" s="27"/>
      <c r="R135" s="27"/>
      <c r="S135" s="21"/>
      <c r="T135" s="28"/>
      <c r="U135" s="28"/>
      <c r="V135" s="28"/>
      <c r="W135" s="28"/>
      <c r="X135" s="28"/>
      <c r="Y135" s="19"/>
      <c r="Z135" s="18"/>
      <c r="AE135" s="19"/>
      <c r="AH135" s="24"/>
      <c r="AI135" s="30"/>
      <c r="AJ135" s="30"/>
      <c r="AK135" s="30"/>
      <c r="AL135" s="24"/>
      <c r="AM135" s="24"/>
    </row>
    <row r="136" ht="15.75" customHeight="1">
      <c r="B136" s="18"/>
      <c r="C136" s="18"/>
      <c r="D136" s="18"/>
      <c r="E136" s="18"/>
      <c r="F136" s="18"/>
      <c r="G136" s="19"/>
      <c r="H136" s="27"/>
      <c r="I136" s="27"/>
      <c r="J136" s="27"/>
      <c r="K136" s="27"/>
      <c r="L136" s="27"/>
      <c r="M136" s="21"/>
      <c r="N136" s="27"/>
      <c r="O136" s="27"/>
      <c r="P136" s="27"/>
      <c r="Q136" s="27"/>
      <c r="R136" s="27"/>
      <c r="S136" s="21"/>
      <c r="T136" s="28"/>
      <c r="U136" s="28"/>
      <c r="V136" s="28"/>
      <c r="W136" s="28"/>
      <c r="X136" s="28"/>
      <c r="Y136" s="19"/>
      <c r="Z136" s="18"/>
      <c r="AE136" s="19"/>
      <c r="AH136" s="24"/>
      <c r="AI136" s="30"/>
      <c r="AJ136" s="30"/>
      <c r="AK136" s="30"/>
      <c r="AL136" s="24"/>
      <c r="AM136" s="24"/>
    </row>
    <row r="137" ht="15.75" customHeight="1">
      <c r="B137" s="18"/>
      <c r="C137" s="18"/>
      <c r="D137" s="18"/>
      <c r="E137" s="18"/>
      <c r="F137" s="18"/>
      <c r="G137" s="19"/>
      <c r="H137" s="27"/>
      <c r="I137" s="27"/>
      <c r="J137" s="27"/>
      <c r="K137" s="27"/>
      <c r="L137" s="27"/>
      <c r="M137" s="21"/>
      <c r="N137" s="27"/>
      <c r="O137" s="27"/>
      <c r="P137" s="27"/>
      <c r="Q137" s="27"/>
      <c r="R137" s="27"/>
      <c r="S137" s="21"/>
      <c r="T137" s="28"/>
      <c r="U137" s="28"/>
      <c r="V137" s="28"/>
      <c r="W137" s="28"/>
      <c r="X137" s="28"/>
      <c r="Y137" s="19"/>
      <c r="Z137" s="18"/>
      <c r="AE137" s="19"/>
      <c r="AH137" s="24"/>
      <c r="AI137" s="30"/>
      <c r="AJ137" s="30"/>
      <c r="AK137" s="30"/>
      <c r="AL137" s="24"/>
      <c r="AM137" s="24"/>
    </row>
    <row r="138" ht="15.75" customHeight="1">
      <c r="B138" s="18"/>
      <c r="C138" s="18"/>
      <c r="D138" s="18"/>
      <c r="E138" s="18"/>
      <c r="F138" s="18"/>
      <c r="G138" s="19"/>
      <c r="H138" s="27"/>
      <c r="I138" s="27"/>
      <c r="J138" s="27"/>
      <c r="K138" s="27"/>
      <c r="L138" s="27"/>
      <c r="M138" s="21"/>
      <c r="N138" s="27"/>
      <c r="O138" s="27"/>
      <c r="P138" s="27"/>
      <c r="Q138" s="27"/>
      <c r="R138" s="27"/>
      <c r="S138" s="21"/>
      <c r="T138" s="28"/>
      <c r="U138" s="28"/>
      <c r="V138" s="28"/>
      <c r="W138" s="28"/>
      <c r="X138" s="28"/>
      <c r="Y138" s="19"/>
      <c r="Z138" s="18"/>
      <c r="AE138" s="19"/>
      <c r="AH138" s="24"/>
      <c r="AI138" s="30"/>
      <c r="AJ138" s="30"/>
      <c r="AK138" s="30"/>
      <c r="AL138" s="24"/>
      <c r="AM138" s="24"/>
    </row>
    <row r="139" ht="15.75" customHeight="1">
      <c r="B139" s="18"/>
      <c r="C139" s="18"/>
      <c r="D139" s="18"/>
      <c r="E139" s="18"/>
      <c r="F139" s="18"/>
      <c r="G139" s="19"/>
      <c r="H139" s="27"/>
      <c r="I139" s="27"/>
      <c r="J139" s="27"/>
      <c r="K139" s="27"/>
      <c r="L139" s="27"/>
      <c r="M139" s="21"/>
      <c r="N139" s="27"/>
      <c r="O139" s="27"/>
      <c r="P139" s="27"/>
      <c r="Q139" s="27"/>
      <c r="R139" s="27"/>
      <c r="S139" s="21"/>
      <c r="T139" s="28"/>
      <c r="U139" s="28"/>
      <c r="V139" s="28"/>
      <c r="W139" s="28"/>
      <c r="X139" s="28"/>
      <c r="Y139" s="19"/>
      <c r="Z139" s="18"/>
      <c r="AE139" s="19"/>
      <c r="AH139" s="24"/>
      <c r="AI139" s="30"/>
      <c r="AJ139" s="30"/>
      <c r="AK139" s="30"/>
      <c r="AL139" s="24"/>
      <c r="AM139" s="24"/>
    </row>
    <row r="140" ht="15.75" customHeight="1">
      <c r="B140" s="18"/>
      <c r="C140" s="18"/>
      <c r="D140" s="18"/>
      <c r="E140" s="18"/>
      <c r="F140" s="18"/>
      <c r="G140" s="19"/>
      <c r="H140" s="27"/>
      <c r="I140" s="27"/>
      <c r="J140" s="27"/>
      <c r="K140" s="27"/>
      <c r="L140" s="27"/>
      <c r="M140" s="21"/>
      <c r="N140" s="27"/>
      <c r="O140" s="27"/>
      <c r="P140" s="27"/>
      <c r="Q140" s="27"/>
      <c r="R140" s="27"/>
      <c r="S140" s="21"/>
      <c r="T140" s="28"/>
      <c r="U140" s="28"/>
      <c r="V140" s="28"/>
      <c r="W140" s="28"/>
      <c r="X140" s="28"/>
      <c r="Y140" s="19"/>
      <c r="Z140" s="18"/>
      <c r="AE140" s="19"/>
      <c r="AH140" s="24"/>
      <c r="AI140" s="30"/>
      <c r="AJ140" s="30"/>
      <c r="AK140" s="30"/>
      <c r="AL140" s="24"/>
      <c r="AM140" s="24"/>
    </row>
    <row r="141" ht="15.75" customHeight="1">
      <c r="B141" s="18"/>
      <c r="C141" s="18"/>
      <c r="D141" s="18"/>
      <c r="E141" s="18"/>
      <c r="F141" s="18"/>
      <c r="G141" s="19"/>
      <c r="H141" s="27"/>
      <c r="I141" s="27"/>
      <c r="J141" s="27"/>
      <c r="K141" s="27"/>
      <c r="L141" s="27"/>
      <c r="M141" s="21"/>
      <c r="N141" s="27"/>
      <c r="O141" s="27"/>
      <c r="P141" s="27"/>
      <c r="Q141" s="27"/>
      <c r="R141" s="27"/>
      <c r="S141" s="21"/>
      <c r="T141" s="28"/>
      <c r="U141" s="28"/>
      <c r="V141" s="28"/>
      <c r="W141" s="28"/>
      <c r="X141" s="28"/>
      <c r="Y141" s="19"/>
      <c r="Z141" s="18"/>
      <c r="AE141" s="19"/>
      <c r="AH141" s="24"/>
      <c r="AI141" s="30"/>
      <c r="AJ141" s="30"/>
      <c r="AK141" s="30"/>
      <c r="AL141" s="24"/>
      <c r="AM141" s="24"/>
    </row>
    <row r="142" ht="15.75" customHeight="1">
      <c r="B142" s="18"/>
      <c r="C142" s="18"/>
      <c r="D142" s="18"/>
      <c r="E142" s="18"/>
      <c r="F142" s="18"/>
      <c r="G142" s="19"/>
      <c r="H142" s="27"/>
      <c r="I142" s="27"/>
      <c r="J142" s="27"/>
      <c r="K142" s="27"/>
      <c r="L142" s="27"/>
      <c r="M142" s="21"/>
      <c r="N142" s="27"/>
      <c r="O142" s="27"/>
      <c r="P142" s="27"/>
      <c r="Q142" s="27"/>
      <c r="R142" s="27"/>
      <c r="S142" s="21"/>
      <c r="T142" s="28"/>
      <c r="U142" s="28"/>
      <c r="V142" s="28"/>
      <c r="W142" s="28"/>
      <c r="X142" s="28"/>
      <c r="Y142" s="19"/>
      <c r="Z142" s="18"/>
      <c r="AE142" s="19"/>
      <c r="AH142" s="24"/>
      <c r="AI142" s="30"/>
      <c r="AJ142" s="30"/>
      <c r="AK142" s="30"/>
      <c r="AL142" s="24"/>
      <c r="AM142" s="24"/>
    </row>
    <row r="143" ht="15.75" customHeight="1">
      <c r="B143" s="18"/>
      <c r="C143" s="18"/>
      <c r="D143" s="18"/>
      <c r="E143" s="18"/>
      <c r="F143" s="18"/>
      <c r="G143" s="19"/>
      <c r="H143" s="27"/>
      <c r="I143" s="27"/>
      <c r="J143" s="27"/>
      <c r="K143" s="27"/>
      <c r="L143" s="27"/>
      <c r="M143" s="21"/>
      <c r="N143" s="27"/>
      <c r="O143" s="27"/>
      <c r="P143" s="27"/>
      <c r="Q143" s="27"/>
      <c r="R143" s="27"/>
      <c r="S143" s="21"/>
      <c r="T143" s="28"/>
      <c r="U143" s="28"/>
      <c r="V143" s="28"/>
      <c r="W143" s="28"/>
      <c r="X143" s="28"/>
      <c r="Y143" s="19"/>
      <c r="Z143" s="18"/>
      <c r="AE143" s="19"/>
      <c r="AH143" s="24"/>
      <c r="AI143" s="30"/>
      <c r="AJ143" s="30"/>
      <c r="AK143" s="30"/>
      <c r="AL143" s="24"/>
      <c r="AM143" s="24"/>
    </row>
    <row r="144" ht="15.75" customHeight="1">
      <c r="B144" s="18"/>
      <c r="C144" s="18"/>
      <c r="D144" s="18"/>
      <c r="E144" s="18"/>
      <c r="F144" s="18"/>
      <c r="G144" s="19"/>
      <c r="H144" s="27"/>
      <c r="I144" s="27"/>
      <c r="J144" s="27"/>
      <c r="K144" s="27"/>
      <c r="L144" s="27"/>
      <c r="M144" s="21"/>
      <c r="N144" s="27"/>
      <c r="O144" s="27"/>
      <c r="P144" s="27"/>
      <c r="Q144" s="27"/>
      <c r="R144" s="27"/>
      <c r="S144" s="21"/>
      <c r="T144" s="28"/>
      <c r="U144" s="28"/>
      <c r="V144" s="28"/>
      <c r="W144" s="28"/>
      <c r="X144" s="28"/>
      <c r="Y144" s="19"/>
      <c r="Z144" s="18"/>
      <c r="AE144" s="19"/>
      <c r="AH144" s="24"/>
      <c r="AI144" s="30"/>
      <c r="AJ144" s="30"/>
      <c r="AK144" s="30"/>
      <c r="AL144" s="24"/>
      <c r="AM144" s="24"/>
    </row>
    <row r="145" ht="15.75" customHeight="1">
      <c r="B145" s="18"/>
      <c r="C145" s="18"/>
      <c r="D145" s="18"/>
      <c r="E145" s="18"/>
      <c r="F145" s="18"/>
      <c r="G145" s="19"/>
      <c r="H145" s="27"/>
      <c r="I145" s="27"/>
      <c r="J145" s="27"/>
      <c r="K145" s="27"/>
      <c r="L145" s="27"/>
      <c r="M145" s="21"/>
      <c r="N145" s="27"/>
      <c r="O145" s="27"/>
      <c r="P145" s="27"/>
      <c r="Q145" s="27"/>
      <c r="R145" s="27"/>
      <c r="S145" s="21"/>
      <c r="T145" s="28"/>
      <c r="U145" s="28"/>
      <c r="V145" s="28"/>
      <c r="W145" s="28"/>
      <c r="X145" s="28"/>
      <c r="Y145" s="19"/>
      <c r="Z145" s="18"/>
      <c r="AE145" s="19"/>
      <c r="AH145" s="24"/>
      <c r="AI145" s="30"/>
      <c r="AJ145" s="30"/>
      <c r="AK145" s="30"/>
      <c r="AL145" s="24"/>
      <c r="AM145" s="24"/>
    </row>
    <row r="146" ht="15.75" customHeight="1">
      <c r="B146" s="18"/>
      <c r="C146" s="18"/>
      <c r="D146" s="18"/>
      <c r="E146" s="18"/>
      <c r="F146" s="18"/>
      <c r="G146" s="19"/>
      <c r="H146" s="27"/>
      <c r="I146" s="27"/>
      <c r="J146" s="27"/>
      <c r="K146" s="27"/>
      <c r="L146" s="27"/>
      <c r="M146" s="21"/>
      <c r="N146" s="27"/>
      <c r="O146" s="27"/>
      <c r="P146" s="27"/>
      <c r="Q146" s="27"/>
      <c r="R146" s="27"/>
      <c r="S146" s="21"/>
      <c r="T146" s="28"/>
      <c r="U146" s="28"/>
      <c r="V146" s="28"/>
      <c r="W146" s="28"/>
      <c r="X146" s="28"/>
      <c r="Y146" s="19"/>
      <c r="Z146" s="18"/>
      <c r="AE146" s="19"/>
      <c r="AH146" s="24"/>
      <c r="AI146" s="30"/>
      <c r="AJ146" s="30"/>
      <c r="AK146" s="30"/>
      <c r="AL146" s="24"/>
      <c r="AM146" s="24"/>
    </row>
    <row r="147" ht="15.75" customHeight="1">
      <c r="B147" s="18"/>
      <c r="C147" s="18"/>
      <c r="D147" s="18"/>
      <c r="E147" s="18"/>
      <c r="F147" s="18"/>
      <c r="G147" s="19"/>
      <c r="H147" s="27"/>
      <c r="I147" s="27"/>
      <c r="J147" s="27"/>
      <c r="K147" s="27"/>
      <c r="L147" s="27"/>
      <c r="M147" s="21"/>
      <c r="N147" s="27"/>
      <c r="O147" s="27"/>
      <c r="P147" s="27"/>
      <c r="Q147" s="27"/>
      <c r="R147" s="27"/>
      <c r="S147" s="21"/>
      <c r="T147" s="28"/>
      <c r="U147" s="28"/>
      <c r="V147" s="28"/>
      <c r="W147" s="28"/>
      <c r="X147" s="28"/>
      <c r="Y147" s="19"/>
      <c r="Z147" s="18"/>
      <c r="AE147" s="19"/>
      <c r="AH147" s="24"/>
      <c r="AI147" s="30"/>
      <c r="AJ147" s="30"/>
      <c r="AK147" s="30"/>
      <c r="AL147" s="24"/>
      <c r="AM147" s="24"/>
    </row>
    <row r="148" ht="15.75" customHeight="1">
      <c r="B148" s="18"/>
      <c r="C148" s="18"/>
      <c r="D148" s="18"/>
      <c r="E148" s="18"/>
      <c r="F148" s="18"/>
      <c r="G148" s="19"/>
      <c r="H148" s="27"/>
      <c r="I148" s="27"/>
      <c r="J148" s="27"/>
      <c r="K148" s="27"/>
      <c r="L148" s="27"/>
      <c r="M148" s="21"/>
      <c r="N148" s="27"/>
      <c r="O148" s="27"/>
      <c r="P148" s="27"/>
      <c r="Q148" s="27"/>
      <c r="R148" s="27"/>
      <c r="S148" s="21"/>
      <c r="T148" s="28"/>
      <c r="U148" s="28"/>
      <c r="V148" s="28"/>
      <c r="W148" s="28"/>
      <c r="X148" s="28"/>
      <c r="Y148" s="19"/>
      <c r="Z148" s="18"/>
      <c r="AE148" s="19"/>
      <c r="AH148" s="24"/>
      <c r="AI148" s="30"/>
      <c r="AJ148" s="30"/>
      <c r="AK148" s="30"/>
      <c r="AL148" s="24"/>
      <c r="AM148" s="24"/>
    </row>
    <row r="149" ht="15.75" customHeight="1">
      <c r="B149" s="18"/>
      <c r="C149" s="18"/>
      <c r="D149" s="18"/>
      <c r="E149" s="18"/>
      <c r="F149" s="18"/>
      <c r="G149" s="19"/>
      <c r="H149" s="27"/>
      <c r="I149" s="27"/>
      <c r="J149" s="27"/>
      <c r="K149" s="27"/>
      <c r="L149" s="27"/>
      <c r="M149" s="21"/>
      <c r="N149" s="27"/>
      <c r="O149" s="27"/>
      <c r="P149" s="27"/>
      <c r="Q149" s="27"/>
      <c r="R149" s="27"/>
      <c r="S149" s="21"/>
      <c r="T149" s="28"/>
      <c r="U149" s="28"/>
      <c r="V149" s="28"/>
      <c r="W149" s="28"/>
      <c r="X149" s="28"/>
      <c r="Y149" s="19"/>
      <c r="Z149" s="18"/>
      <c r="AE149" s="19"/>
      <c r="AH149" s="24"/>
      <c r="AI149" s="30"/>
      <c r="AJ149" s="30"/>
      <c r="AK149" s="30"/>
      <c r="AL149" s="24"/>
      <c r="AM149" s="24"/>
    </row>
    <row r="150" ht="15.75" customHeight="1">
      <c r="B150" s="18"/>
      <c r="C150" s="18"/>
      <c r="D150" s="18"/>
      <c r="E150" s="18"/>
      <c r="F150" s="18"/>
      <c r="G150" s="19"/>
      <c r="H150" s="27"/>
      <c r="I150" s="27"/>
      <c r="J150" s="27"/>
      <c r="K150" s="27"/>
      <c r="L150" s="27"/>
      <c r="M150" s="21"/>
      <c r="N150" s="27"/>
      <c r="O150" s="27"/>
      <c r="P150" s="27"/>
      <c r="Q150" s="27"/>
      <c r="R150" s="27"/>
      <c r="S150" s="21"/>
      <c r="T150" s="28"/>
      <c r="U150" s="28"/>
      <c r="V150" s="28"/>
      <c r="W150" s="28"/>
      <c r="X150" s="28"/>
      <c r="Y150" s="19"/>
      <c r="Z150" s="18"/>
      <c r="AE150" s="19"/>
      <c r="AH150" s="24"/>
      <c r="AI150" s="30"/>
      <c r="AJ150" s="30"/>
      <c r="AK150" s="30"/>
      <c r="AL150" s="24"/>
      <c r="AM150" s="24"/>
    </row>
    <row r="151" ht="15.75" customHeight="1">
      <c r="B151" s="18"/>
      <c r="C151" s="18"/>
      <c r="D151" s="18"/>
      <c r="E151" s="18"/>
      <c r="F151" s="18"/>
      <c r="G151" s="19"/>
      <c r="H151" s="27"/>
      <c r="I151" s="27"/>
      <c r="J151" s="27"/>
      <c r="K151" s="27"/>
      <c r="L151" s="27"/>
      <c r="M151" s="21"/>
      <c r="N151" s="27"/>
      <c r="O151" s="27"/>
      <c r="P151" s="27"/>
      <c r="Q151" s="27"/>
      <c r="R151" s="27"/>
      <c r="S151" s="21"/>
      <c r="T151" s="28"/>
      <c r="U151" s="28"/>
      <c r="V151" s="28"/>
      <c r="W151" s="28"/>
      <c r="X151" s="28"/>
      <c r="Y151" s="19"/>
      <c r="Z151" s="18"/>
      <c r="AE151" s="19"/>
      <c r="AH151" s="24"/>
      <c r="AI151" s="30"/>
      <c r="AJ151" s="30"/>
      <c r="AK151" s="30"/>
      <c r="AL151" s="24"/>
      <c r="AM151" s="24"/>
    </row>
    <row r="152" ht="15.75" customHeight="1">
      <c r="B152" s="18"/>
      <c r="C152" s="18"/>
      <c r="D152" s="18"/>
      <c r="E152" s="18"/>
      <c r="F152" s="18"/>
      <c r="G152" s="19"/>
      <c r="H152" s="27"/>
      <c r="I152" s="27"/>
      <c r="J152" s="27"/>
      <c r="K152" s="27"/>
      <c r="L152" s="27"/>
      <c r="M152" s="21"/>
      <c r="N152" s="27"/>
      <c r="O152" s="27"/>
      <c r="P152" s="27"/>
      <c r="Q152" s="27"/>
      <c r="R152" s="27"/>
      <c r="S152" s="21"/>
      <c r="T152" s="28"/>
      <c r="U152" s="28"/>
      <c r="V152" s="28"/>
      <c r="W152" s="28"/>
      <c r="X152" s="28"/>
      <c r="Y152" s="19"/>
      <c r="Z152" s="18"/>
      <c r="AE152" s="19"/>
      <c r="AH152" s="24"/>
      <c r="AI152" s="30"/>
      <c r="AJ152" s="30"/>
      <c r="AK152" s="30"/>
      <c r="AL152" s="24"/>
      <c r="AM152" s="24"/>
    </row>
    <row r="153" ht="15.75" customHeight="1">
      <c r="B153" s="18"/>
      <c r="C153" s="18"/>
      <c r="D153" s="18"/>
      <c r="E153" s="18"/>
      <c r="F153" s="18"/>
      <c r="G153" s="19"/>
      <c r="H153" s="27"/>
      <c r="I153" s="27"/>
      <c r="J153" s="27"/>
      <c r="K153" s="27"/>
      <c r="L153" s="27"/>
      <c r="M153" s="21"/>
      <c r="N153" s="27"/>
      <c r="O153" s="27"/>
      <c r="P153" s="27"/>
      <c r="Q153" s="27"/>
      <c r="R153" s="27"/>
      <c r="S153" s="21"/>
      <c r="T153" s="28"/>
      <c r="U153" s="28"/>
      <c r="V153" s="28"/>
      <c r="W153" s="28"/>
      <c r="X153" s="28"/>
      <c r="Y153" s="19"/>
      <c r="Z153" s="18"/>
      <c r="AE153" s="19"/>
      <c r="AH153" s="24"/>
      <c r="AI153" s="30"/>
      <c r="AJ153" s="30"/>
      <c r="AK153" s="30"/>
      <c r="AL153" s="24"/>
      <c r="AM153" s="24"/>
    </row>
    <row r="154" ht="15.75" customHeight="1">
      <c r="B154" s="18"/>
      <c r="C154" s="18"/>
      <c r="D154" s="18"/>
      <c r="E154" s="18"/>
      <c r="F154" s="18"/>
      <c r="G154" s="19"/>
      <c r="H154" s="27"/>
      <c r="I154" s="27"/>
      <c r="J154" s="27"/>
      <c r="K154" s="27"/>
      <c r="L154" s="27"/>
      <c r="M154" s="21"/>
      <c r="N154" s="27"/>
      <c r="O154" s="27"/>
      <c r="P154" s="27"/>
      <c r="Q154" s="27"/>
      <c r="R154" s="27"/>
      <c r="S154" s="21"/>
      <c r="T154" s="28"/>
      <c r="U154" s="28"/>
      <c r="V154" s="28"/>
      <c r="W154" s="28"/>
      <c r="X154" s="28"/>
      <c r="Y154" s="19"/>
      <c r="Z154" s="18"/>
      <c r="AE154" s="19"/>
      <c r="AH154" s="24"/>
      <c r="AI154" s="30"/>
      <c r="AJ154" s="30"/>
      <c r="AK154" s="30"/>
      <c r="AL154" s="24"/>
      <c r="AM154" s="24"/>
    </row>
    <row r="155" ht="15.75" customHeight="1">
      <c r="B155" s="18"/>
      <c r="C155" s="18"/>
      <c r="D155" s="18"/>
      <c r="E155" s="18"/>
      <c r="F155" s="18"/>
      <c r="G155" s="19"/>
      <c r="H155" s="27"/>
      <c r="I155" s="27"/>
      <c r="J155" s="27"/>
      <c r="K155" s="27"/>
      <c r="L155" s="27"/>
      <c r="M155" s="21"/>
      <c r="N155" s="27"/>
      <c r="O155" s="27"/>
      <c r="P155" s="27"/>
      <c r="Q155" s="27"/>
      <c r="R155" s="27"/>
      <c r="S155" s="21"/>
      <c r="T155" s="28"/>
      <c r="U155" s="28"/>
      <c r="V155" s="28"/>
      <c r="W155" s="28"/>
      <c r="X155" s="28"/>
      <c r="Y155" s="19"/>
      <c r="Z155" s="18"/>
      <c r="AE155" s="19"/>
      <c r="AH155" s="24"/>
      <c r="AI155" s="30"/>
      <c r="AJ155" s="30"/>
      <c r="AK155" s="30"/>
      <c r="AL155" s="24"/>
      <c r="AM155" s="24"/>
    </row>
    <row r="156" ht="15.75" customHeight="1">
      <c r="B156" s="18"/>
      <c r="C156" s="18"/>
      <c r="D156" s="18"/>
      <c r="E156" s="18"/>
      <c r="F156" s="18"/>
      <c r="G156" s="19"/>
      <c r="H156" s="27"/>
      <c r="I156" s="27"/>
      <c r="J156" s="27"/>
      <c r="K156" s="27"/>
      <c r="L156" s="27"/>
      <c r="M156" s="21"/>
      <c r="N156" s="27"/>
      <c r="O156" s="27"/>
      <c r="P156" s="27"/>
      <c r="Q156" s="27"/>
      <c r="R156" s="27"/>
      <c r="S156" s="21"/>
      <c r="T156" s="28"/>
      <c r="U156" s="28"/>
      <c r="V156" s="28"/>
      <c r="W156" s="28"/>
      <c r="X156" s="28"/>
      <c r="Y156" s="19"/>
      <c r="Z156" s="18"/>
      <c r="AE156" s="19"/>
      <c r="AH156" s="24"/>
      <c r="AI156" s="30"/>
      <c r="AJ156" s="30"/>
      <c r="AK156" s="30"/>
      <c r="AL156" s="24"/>
      <c r="AM156" s="24"/>
    </row>
    <row r="157" ht="15.75" customHeight="1">
      <c r="B157" s="18"/>
      <c r="C157" s="18"/>
      <c r="D157" s="18"/>
      <c r="E157" s="18"/>
      <c r="F157" s="18"/>
      <c r="G157" s="19"/>
      <c r="H157" s="27"/>
      <c r="I157" s="27"/>
      <c r="J157" s="27"/>
      <c r="K157" s="27"/>
      <c r="L157" s="27"/>
      <c r="M157" s="21"/>
      <c r="N157" s="27"/>
      <c r="O157" s="27"/>
      <c r="P157" s="27"/>
      <c r="Q157" s="27"/>
      <c r="R157" s="27"/>
      <c r="S157" s="21"/>
      <c r="T157" s="28"/>
      <c r="U157" s="28"/>
      <c r="V157" s="28"/>
      <c r="W157" s="28"/>
      <c r="X157" s="28"/>
      <c r="Y157" s="19"/>
      <c r="Z157" s="18"/>
      <c r="AE157" s="19"/>
      <c r="AH157" s="24"/>
      <c r="AI157" s="30"/>
      <c r="AJ157" s="30"/>
      <c r="AK157" s="30"/>
      <c r="AL157" s="24"/>
      <c r="AM157" s="24"/>
    </row>
    <row r="158" ht="15.75" customHeight="1">
      <c r="B158" s="18"/>
      <c r="C158" s="18"/>
      <c r="D158" s="18"/>
      <c r="E158" s="18"/>
      <c r="F158" s="18"/>
      <c r="G158" s="19"/>
      <c r="H158" s="27"/>
      <c r="I158" s="27"/>
      <c r="J158" s="27"/>
      <c r="K158" s="27"/>
      <c r="L158" s="27"/>
      <c r="M158" s="21"/>
      <c r="N158" s="27"/>
      <c r="O158" s="27"/>
      <c r="P158" s="27"/>
      <c r="Q158" s="27"/>
      <c r="R158" s="27"/>
      <c r="S158" s="21"/>
      <c r="T158" s="28"/>
      <c r="U158" s="28"/>
      <c r="V158" s="28"/>
      <c r="W158" s="28"/>
      <c r="X158" s="28"/>
      <c r="Y158" s="19"/>
      <c r="Z158" s="18"/>
      <c r="AE158" s="19"/>
      <c r="AH158" s="24"/>
      <c r="AI158" s="30"/>
      <c r="AJ158" s="30"/>
      <c r="AK158" s="30"/>
      <c r="AL158" s="24"/>
      <c r="AM158" s="24"/>
    </row>
    <row r="159" ht="15.75" customHeight="1">
      <c r="B159" s="18"/>
      <c r="C159" s="18"/>
      <c r="D159" s="18"/>
      <c r="E159" s="18"/>
      <c r="F159" s="18"/>
      <c r="G159" s="19"/>
      <c r="H159" s="27"/>
      <c r="I159" s="27"/>
      <c r="J159" s="27"/>
      <c r="K159" s="27"/>
      <c r="L159" s="27"/>
      <c r="M159" s="21"/>
      <c r="N159" s="27"/>
      <c r="O159" s="27"/>
      <c r="P159" s="27"/>
      <c r="Q159" s="27"/>
      <c r="R159" s="27"/>
      <c r="S159" s="21"/>
      <c r="T159" s="28"/>
      <c r="U159" s="28"/>
      <c r="V159" s="28"/>
      <c r="W159" s="28"/>
      <c r="X159" s="28"/>
      <c r="Y159" s="19"/>
      <c r="Z159" s="18"/>
      <c r="AE159" s="19"/>
      <c r="AH159" s="24"/>
      <c r="AI159" s="30"/>
      <c r="AJ159" s="30"/>
      <c r="AK159" s="30"/>
      <c r="AL159" s="24"/>
      <c r="AM159" s="24"/>
    </row>
    <row r="160" ht="15.75" customHeight="1">
      <c r="B160" s="18"/>
      <c r="C160" s="18"/>
      <c r="D160" s="18"/>
      <c r="E160" s="18"/>
      <c r="F160" s="18"/>
      <c r="G160" s="19"/>
      <c r="H160" s="27"/>
      <c r="I160" s="27"/>
      <c r="J160" s="27"/>
      <c r="K160" s="27"/>
      <c r="L160" s="27"/>
      <c r="M160" s="21"/>
      <c r="N160" s="27"/>
      <c r="O160" s="27"/>
      <c r="P160" s="27"/>
      <c r="Q160" s="27"/>
      <c r="R160" s="27"/>
      <c r="S160" s="21"/>
      <c r="T160" s="28"/>
      <c r="U160" s="28"/>
      <c r="V160" s="28"/>
      <c r="W160" s="28"/>
      <c r="X160" s="28"/>
      <c r="Y160" s="19"/>
      <c r="Z160" s="18"/>
      <c r="AE160" s="19"/>
      <c r="AH160" s="24"/>
      <c r="AI160" s="30"/>
      <c r="AJ160" s="30"/>
      <c r="AK160" s="30"/>
      <c r="AL160" s="24"/>
      <c r="AM160" s="24"/>
    </row>
    <row r="161" ht="15.75" customHeight="1">
      <c r="B161" s="18"/>
      <c r="C161" s="18"/>
      <c r="D161" s="18"/>
      <c r="E161" s="18"/>
      <c r="F161" s="18"/>
      <c r="G161" s="19"/>
      <c r="H161" s="27"/>
      <c r="I161" s="27"/>
      <c r="J161" s="27"/>
      <c r="K161" s="27"/>
      <c r="L161" s="27"/>
      <c r="M161" s="21"/>
      <c r="N161" s="27"/>
      <c r="O161" s="27"/>
      <c r="P161" s="27"/>
      <c r="Q161" s="27"/>
      <c r="R161" s="27"/>
      <c r="S161" s="21"/>
      <c r="T161" s="28"/>
      <c r="U161" s="28"/>
      <c r="V161" s="28"/>
      <c r="W161" s="28"/>
      <c r="X161" s="28"/>
      <c r="Y161" s="19"/>
      <c r="Z161" s="18"/>
      <c r="AE161" s="19"/>
      <c r="AH161" s="24"/>
      <c r="AI161" s="30"/>
      <c r="AJ161" s="30"/>
      <c r="AK161" s="30"/>
      <c r="AL161" s="24"/>
      <c r="AM161" s="24"/>
    </row>
    <row r="162" ht="15.75" customHeight="1">
      <c r="B162" s="18"/>
      <c r="C162" s="18"/>
      <c r="D162" s="18"/>
      <c r="E162" s="18"/>
      <c r="F162" s="18"/>
      <c r="G162" s="19"/>
      <c r="H162" s="27"/>
      <c r="I162" s="27"/>
      <c r="J162" s="27"/>
      <c r="K162" s="27"/>
      <c r="L162" s="27"/>
      <c r="M162" s="21"/>
      <c r="N162" s="27"/>
      <c r="O162" s="27"/>
      <c r="P162" s="27"/>
      <c r="Q162" s="27"/>
      <c r="R162" s="27"/>
      <c r="S162" s="21"/>
      <c r="T162" s="28"/>
      <c r="U162" s="28"/>
      <c r="V162" s="28"/>
      <c r="W162" s="28"/>
      <c r="X162" s="28"/>
      <c r="Y162" s="19"/>
      <c r="Z162" s="18"/>
      <c r="AE162" s="19"/>
      <c r="AH162" s="24"/>
      <c r="AI162" s="30"/>
      <c r="AJ162" s="30"/>
      <c r="AK162" s="30"/>
      <c r="AL162" s="24"/>
      <c r="AM162" s="24"/>
    </row>
    <row r="163" ht="15.75" customHeight="1">
      <c r="B163" s="18"/>
      <c r="C163" s="18"/>
      <c r="D163" s="18"/>
      <c r="E163" s="18"/>
      <c r="F163" s="18"/>
      <c r="G163" s="19"/>
      <c r="H163" s="27"/>
      <c r="I163" s="27"/>
      <c r="J163" s="27"/>
      <c r="K163" s="27"/>
      <c r="L163" s="27"/>
      <c r="M163" s="21"/>
      <c r="N163" s="27"/>
      <c r="O163" s="27"/>
      <c r="P163" s="27"/>
      <c r="Q163" s="27"/>
      <c r="R163" s="27"/>
      <c r="S163" s="21"/>
      <c r="T163" s="28"/>
      <c r="U163" s="28"/>
      <c r="V163" s="28"/>
      <c r="W163" s="28"/>
      <c r="X163" s="28"/>
      <c r="Y163" s="19"/>
      <c r="Z163" s="18"/>
      <c r="AE163" s="19"/>
      <c r="AH163" s="24"/>
      <c r="AI163" s="30"/>
      <c r="AJ163" s="30"/>
      <c r="AK163" s="30"/>
      <c r="AL163" s="24"/>
      <c r="AM163" s="24"/>
    </row>
    <row r="164" ht="15.75" customHeight="1">
      <c r="B164" s="18"/>
      <c r="C164" s="18"/>
      <c r="D164" s="18"/>
      <c r="E164" s="18"/>
      <c r="F164" s="18"/>
      <c r="G164" s="19"/>
      <c r="H164" s="27"/>
      <c r="I164" s="27"/>
      <c r="J164" s="27"/>
      <c r="K164" s="27"/>
      <c r="L164" s="27"/>
      <c r="M164" s="21"/>
      <c r="N164" s="27"/>
      <c r="O164" s="27"/>
      <c r="P164" s="27"/>
      <c r="Q164" s="27"/>
      <c r="R164" s="27"/>
      <c r="S164" s="21"/>
      <c r="T164" s="28"/>
      <c r="U164" s="28"/>
      <c r="V164" s="28"/>
      <c r="W164" s="28"/>
      <c r="X164" s="28"/>
      <c r="Y164" s="19"/>
      <c r="Z164" s="18"/>
      <c r="AE164" s="19"/>
      <c r="AH164" s="24"/>
      <c r="AI164" s="30"/>
      <c r="AJ164" s="30"/>
      <c r="AK164" s="30"/>
      <c r="AL164" s="24"/>
      <c r="AM164" s="24"/>
    </row>
    <row r="165" ht="15.75" customHeight="1">
      <c r="B165" s="18"/>
      <c r="C165" s="18"/>
      <c r="D165" s="18"/>
      <c r="E165" s="18"/>
      <c r="F165" s="18"/>
      <c r="G165" s="19"/>
      <c r="H165" s="27"/>
      <c r="I165" s="27"/>
      <c r="J165" s="27"/>
      <c r="K165" s="27"/>
      <c r="L165" s="27"/>
      <c r="M165" s="21"/>
      <c r="N165" s="27"/>
      <c r="O165" s="27"/>
      <c r="P165" s="27"/>
      <c r="Q165" s="27"/>
      <c r="R165" s="27"/>
      <c r="S165" s="21"/>
      <c r="T165" s="28"/>
      <c r="U165" s="28"/>
      <c r="V165" s="28"/>
      <c r="W165" s="28"/>
      <c r="X165" s="28"/>
      <c r="Y165" s="19"/>
      <c r="Z165" s="18"/>
      <c r="AE165" s="19"/>
      <c r="AH165" s="24"/>
      <c r="AI165" s="30"/>
      <c r="AJ165" s="30"/>
      <c r="AK165" s="30"/>
      <c r="AL165" s="24"/>
      <c r="AM165" s="24"/>
    </row>
    <row r="166" ht="15.75" customHeight="1">
      <c r="B166" s="18"/>
      <c r="C166" s="18"/>
      <c r="D166" s="18"/>
      <c r="E166" s="18"/>
      <c r="F166" s="18"/>
      <c r="G166" s="19"/>
      <c r="H166" s="27"/>
      <c r="I166" s="27"/>
      <c r="J166" s="27"/>
      <c r="K166" s="27"/>
      <c r="L166" s="27"/>
      <c r="M166" s="21"/>
      <c r="N166" s="27"/>
      <c r="O166" s="27"/>
      <c r="P166" s="27"/>
      <c r="Q166" s="27"/>
      <c r="R166" s="27"/>
      <c r="S166" s="21"/>
      <c r="T166" s="28"/>
      <c r="U166" s="28"/>
      <c r="V166" s="28"/>
      <c r="W166" s="28"/>
      <c r="X166" s="28"/>
      <c r="Y166" s="19"/>
      <c r="Z166" s="18"/>
      <c r="AE166" s="19"/>
      <c r="AH166" s="24"/>
      <c r="AI166" s="30"/>
      <c r="AJ166" s="30"/>
      <c r="AK166" s="30"/>
      <c r="AL166" s="24"/>
      <c r="AM166" s="24"/>
    </row>
    <row r="167" ht="15.75" customHeight="1">
      <c r="B167" s="18"/>
      <c r="C167" s="18"/>
      <c r="D167" s="18"/>
      <c r="E167" s="18"/>
      <c r="F167" s="18"/>
      <c r="G167" s="19"/>
      <c r="H167" s="27"/>
      <c r="I167" s="27"/>
      <c r="J167" s="27"/>
      <c r="K167" s="27"/>
      <c r="L167" s="27"/>
      <c r="M167" s="21"/>
      <c r="N167" s="27"/>
      <c r="O167" s="27"/>
      <c r="P167" s="27"/>
      <c r="Q167" s="27"/>
      <c r="R167" s="27"/>
      <c r="S167" s="21"/>
      <c r="T167" s="28"/>
      <c r="U167" s="28"/>
      <c r="V167" s="28"/>
      <c r="W167" s="28"/>
      <c r="X167" s="28"/>
      <c r="Y167" s="19"/>
      <c r="Z167" s="18"/>
      <c r="AE167" s="19"/>
      <c r="AH167" s="24"/>
      <c r="AI167" s="30"/>
      <c r="AJ167" s="30"/>
      <c r="AK167" s="30"/>
      <c r="AL167" s="24"/>
      <c r="AM167" s="24"/>
    </row>
    <row r="168" ht="15.75" customHeight="1">
      <c r="B168" s="18"/>
      <c r="C168" s="18"/>
      <c r="D168" s="18"/>
      <c r="E168" s="18"/>
      <c r="F168" s="18"/>
      <c r="G168" s="19"/>
      <c r="H168" s="27"/>
      <c r="I168" s="27"/>
      <c r="J168" s="27"/>
      <c r="K168" s="27"/>
      <c r="L168" s="27"/>
      <c r="M168" s="21"/>
      <c r="N168" s="27"/>
      <c r="O168" s="27"/>
      <c r="P168" s="27"/>
      <c r="Q168" s="27"/>
      <c r="R168" s="27"/>
      <c r="S168" s="21"/>
      <c r="T168" s="28"/>
      <c r="U168" s="28"/>
      <c r="V168" s="28"/>
      <c r="W168" s="28"/>
      <c r="X168" s="28"/>
      <c r="Y168" s="19"/>
      <c r="Z168" s="18"/>
      <c r="AE168" s="19"/>
      <c r="AH168" s="24"/>
      <c r="AI168" s="30"/>
      <c r="AJ168" s="30"/>
      <c r="AK168" s="30"/>
      <c r="AL168" s="24"/>
      <c r="AM168" s="24"/>
    </row>
    <row r="169" ht="15.75" customHeight="1">
      <c r="B169" s="18"/>
      <c r="C169" s="18"/>
      <c r="D169" s="18"/>
      <c r="E169" s="18"/>
      <c r="F169" s="18"/>
      <c r="G169" s="19"/>
      <c r="H169" s="27"/>
      <c r="I169" s="27"/>
      <c r="J169" s="27"/>
      <c r="K169" s="27"/>
      <c r="L169" s="27"/>
      <c r="M169" s="21"/>
      <c r="N169" s="27"/>
      <c r="O169" s="27"/>
      <c r="P169" s="27"/>
      <c r="Q169" s="27"/>
      <c r="R169" s="27"/>
      <c r="S169" s="21"/>
      <c r="T169" s="28"/>
      <c r="U169" s="28"/>
      <c r="V169" s="28"/>
      <c r="W169" s="28"/>
      <c r="X169" s="28"/>
      <c r="Y169" s="19"/>
      <c r="Z169" s="18"/>
      <c r="AE169" s="19"/>
      <c r="AH169" s="24"/>
      <c r="AI169" s="30"/>
      <c r="AJ169" s="30"/>
      <c r="AK169" s="30"/>
      <c r="AL169" s="24"/>
      <c r="AM169" s="24"/>
    </row>
    <row r="170" ht="15.75" customHeight="1">
      <c r="B170" s="18"/>
      <c r="C170" s="18"/>
      <c r="D170" s="18"/>
      <c r="E170" s="18"/>
      <c r="F170" s="18"/>
      <c r="G170" s="19"/>
      <c r="H170" s="27"/>
      <c r="I170" s="27"/>
      <c r="J170" s="27"/>
      <c r="K170" s="27"/>
      <c r="L170" s="27"/>
      <c r="M170" s="21"/>
      <c r="N170" s="27"/>
      <c r="O170" s="27"/>
      <c r="P170" s="27"/>
      <c r="Q170" s="27"/>
      <c r="R170" s="27"/>
      <c r="S170" s="21"/>
      <c r="T170" s="28"/>
      <c r="U170" s="28"/>
      <c r="V170" s="28"/>
      <c r="W170" s="28"/>
      <c r="X170" s="28"/>
      <c r="Y170" s="19"/>
      <c r="Z170" s="18"/>
      <c r="AE170" s="19"/>
      <c r="AH170" s="24"/>
      <c r="AI170" s="30"/>
      <c r="AJ170" s="30"/>
      <c r="AK170" s="30"/>
      <c r="AL170" s="24"/>
      <c r="AM170" s="24"/>
    </row>
    <row r="171" ht="15.75" customHeight="1">
      <c r="B171" s="18"/>
      <c r="C171" s="18"/>
      <c r="D171" s="18"/>
      <c r="E171" s="18"/>
      <c r="F171" s="18"/>
      <c r="G171" s="19"/>
      <c r="H171" s="27"/>
      <c r="I171" s="27"/>
      <c r="J171" s="27"/>
      <c r="K171" s="27"/>
      <c r="L171" s="27"/>
      <c r="M171" s="21"/>
      <c r="N171" s="27"/>
      <c r="O171" s="27"/>
      <c r="P171" s="27"/>
      <c r="Q171" s="27"/>
      <c r="R171" s="27"/>
      <c r="S171" s="21"/>
      <c r="T171" s="28"/>
      <c r="U171" s="28"/>
      <c r="V171" s="28"/>
      <c r="W171" s="28"/>
      <c r="X171" s="28"/>
      <c r="Y171" s="19"/>
      <c r="Z171" s="18"/>
      <c r="AE171" s="19"/>
      <c r="AH171" s="24"/>
      <c r="AI171" s="30"/>
      <c r="AJ171" s="30"/>
      <c r="AK171" s="30"/>
      <c r="AL171" s="24"/>
      <c r="AM171" s="24"/>
    </row>
    <row r="172" ht="15.75" customHeight="1">
      <c r="B172" s="18"/>
      <c r="C172" s="18"/>
      <c r="D172" s="18"/>
      <c r="E172" s="18"/>
      <c r="F172" s="18"/>
      <c r="G172" s="19"/>
      <c r="H172" s="27"/>
      <c r="I172" s="27"/>
      <c r="J172" s="27"/>
      <c r="K172" s="27"/>
      <c r="L172" s="27"/>
      <c r="M172" s="21"/>
      <c r="N172" s="27"/>
      <c r="O172" s="27"/>
      <c r="P172" s="27"/>
      <c r="Q172" s="27"/>
      <c r="R172" s="27"/>
      <c r="S172" s="21"/>
      <c r="T172" s="28"/>
      <c r="U172" s="28"/>
      <c r="V172" s="28"/>
      <c r="W172" s="28"/>
      <c r="X172" s="28"/>
      <c r="Y172" s="19"/>
      <c r="Z172" s="18"/>
      <c r="AE172" s="19"/>
      <c r="AH172" s="24"/>
      <c r="AI172" s="30"/>
      <c r="AJ172" s="30"/>
      <c r="AK172" s="30"/>
      <c r="AL172" s="24"/>
      <c r="AM172" s="24"/>
    </row>
    <row r="173" ht="15.75" customHeight="1">
      <c r="B173" s="18"/>
      <c r="C173" s="18"/>
      <c r="D173" s="18"/>
      <c r="E173" s="18"/>
      <c r="F173" s="18"/>
      <c r="G173" s="19"/>
      <c r="H173" s="27"/>
      <c r="I173" s="27"/>
      <c r="J173" s="27"/>
      <c r="K173" s="27"/>
      <c r="L173" s="27"/>
      <c r="M173" s="21"/>
      <c r="N173" s="27"/>
      <c r="O173" s="27"/>
      <c r="P173" s="27"/>
      <c r="Q173" s="27"/>
      <c r="R173" s="27"/>
      <c r="S173" s="21"/>
      <c r="T173" s="28"/>
      <c r="U173" s="28"/>
      <c r="V173" s="28"/>
      <c r="W173" s="28"/>
      <c r="X173" s="28"/>
      <c r="Y173" s="19"/>
      <c r="Z173" s="18"/>
      <c r="AE173" s="19"/>
      <c r="AH173" s="24"/>
      <c r="AI173" s="30"/>
      <c r="AJ173" s="30"/>
      <c r="AK173" s="30"/>
      <c r="AL173" s="24"/>
      <c r="AM173" s="24"/>
    </row>
    <row r="174" ht="15.75" customHeight="1">
      <c r="B174" s="18"/>
      <c r="C174" s="18"/>
      <c r="D174" s="18"/>
      <c r="E174" s="18"/>
      <c r="F174" s="18"/>
      <c r="G174" s="19"/>
      <c r="H174" s="27"/>
      <c r="I174" s="27"/>
      <c r="J174" s="27"/>
      <c r="K174" s="27"/>
      <c r="L174" s="27"/>
      <c r="M174" s="21"/>
      <c r="N174" s="27"/>
      <c r="O174" s="27"/>
      <c r="P174" s="27"/>
      <c r="Q174" s="27"/>
      <c r="R174" s="27"/>
      <c r="S174" s="21"/>
      <c r="T174" s="28"/>
      <c r="U174" s="28"/>
      <c r="V174" s="28"/>
      <c r="W174" s="28"/>
      <c r="X174" s="28"/>
      <c r="Y174" s="19"/>
      <c r="Z174" s="18"/>
      <c r="AE174" s="19"/>
      <c r="AH174" s="24"/>
      <c r="AI174" s="30"/>
      <c r="AJ174" s="30"/>
      <c r="AK174" s="30"/>
      <c r="AL174" s="24"/>
      <c r="AM174" s="24"/>
    </row>
    <row r="175" ht="15.75" customHeight="1">
      <c r="B175" s="18"/>
      <c r="C175" s="18"/>
      <c r="D175" s="18"/>
      <c r="E175" s="18"/>
      <c r="F175" s="18"/>
      <c r="G175" s="19"/>
      <c r="H175" s="27"/>
      <c r="I175" s="27"/>
      <c r="J175" s="27"/>
      <c r="K175" s="27"/>
      <c r="L175" s="27"/>
      <c r="M175" s="21"/>
      <c r="N175" s="27"/>
      <c r="O175" s="27"/>
      <c r="P175" s="27"/>
      <c r="Q175" s="27"/>
      <c r="R175" s="27"/>
      <c r="S175" s="21"/>
      <c r="T175" s="28"/>
      <c r="U175" s="28"/>
      <c r="V175" s="28"/>
      <c r="W175" s="28"/>
      <c r="X175" s="28"/>
      <c r="Y175" s="19"/>
      <c r="Z175" s="18"/>
      <c r="AE175" s="19"/>
      <c r="AH175" s="24"/>
      <c r="AI175" s="30"/>
      <c r="AJ175" s="30"/>
      <c r="AK175" s="30"/>
      <c r="AL175" s="24"/>
      <c r="AM175" s="24"/>
    </row>
    <row r="176" ht="15.75" customHeight="1">
      <c r="B176" s="18"/>
      <c r="C176" s="18"/>
      <c r="D176" s="18"/>
      <c r="E176" s="18"/>
      <c r="F176" s="18"/>
      <c r="G176" s="19"/>
      <c r="H176" s="27"/>
      <c r="I176" s="27"/>
      <c r="J176" s="27"/>
      <c r="K176" s="27"/>
      <c r="L176" s="27"/>
      <c r="M176" s="21"/>
      <c r="N176" s="27"/>
      <c r="O176" s="27"/>
      <c r="P176" s="27"/>
      <c r="Q176" s="27"/>
      <c r="R176" s="27"/>
      <c r="S176" s="21"/>
      <c r="T176" s="28"/>
      <c r="U176" s="28"/>
      <c r="V176" s="28"/>
      <c r="W176" s="28"/>
      <c r="X176" s="28"/>
      <c r="Y176" s="19"/>
      <c r="Z176" s="18"/>
      <c r="AE176" s="19"/>
      <c r="AH176" s="24"/>
      <c r="AI176" s="30"/>
      <c r="AJ176" s="30"/>
      <c r="AK176" s="30"/>
      <c r="AL176" s="24"/>
      <c r="AM176" s="24"/>
    </row>
    <row r="177" ht="15.75" customHeight="1">
      <c r="B177" s="18"/>
      <c r="C177" s="18"/>
      <c r="D177" s="18"/>
      <c r="E177" s="18"/>
      <c r="F177" s="18"/>
      <c r="G177" s="19"/>
      <c r="H177" s="27"/>
      <c r="I177" s="27"/>
      <c r="J177" s="27"/>
      <c r="K177" s="27"/>
      <c r="L177" s="27"/>
      <c r="M177" s="21"/>
      <c r="N177" s="27"/>
      <c r="O177" s="27"/>
      <c r="P177" s="27"/>
      <c r="Q177" s="27"/>
      <c r="R177" s="27"/>
      <c r="S177" s="21"/>
      <c r="T177" s="28"/>
      <c r="U177" s="28"/>
      <c r="V177" s="28"/>
      <c r="W177" s="28"/>
      <c r="X177" s="28"/>
      <c r="Y177" s="19"/>
      <c r="Z177" s="18"/>
      <c r="AE177" s="19"/>
      <c r="AH177" s="24"/>
      <c r="AI177" s="30"/>
      <c r="AJ177" s="30"/>
      <c r="AK177" s="30"/>
      <c r="AL177" s="24"/>
      <c r="AM177" s="24"/>
    </row>
    <row r="178" ht="15.75" customHeight="1">
      <c r="B178" s="18"/>
      <c r="C178" s="18"/>
      <c r="D178" s="18"/>
      <c r="E178" s="18"/>
      <c r="F178" s="18"/>
      <c r="G178" s="19"/>
      <c r="H178" s="27"/>
      <c r="I178" s="27"/>
      <c r="J178" s="27"/>
      <c r="K178" s="27"/>
      <c r="L178" s="27"/>
      <c r="M178" s="21"/>
      <c r="N178" s="27"/>
      <c r="O178" s="27"/>
      <c r="P178" s="27"/>
      <c r="Q178" s="27"/>
      <c r="R178" s="27"/>
      <c r="S178" s="21"/>
      <c r="T178" s="28"/>
      <c r="U178" s="28"/>
      <c r="V178" s="28"/>
      <c r="W178" s="28"/>
      <c r="X178" s="28"/>
      <c r="Y178" s="19"/>
      <c r="Z178" s="18"/>
      <c r="AE178" s="19"/>
      <c r="AH178" s="24"/>
      <c r="AI178" s="30"/>
      <c r="AJ178" s="30"/>
      <c r="AK178" s="30"/>
      <c r="AL178" s="24"/>
      <c r="AM178" s="24"/>
    </row>
    <row r="179" ht="15.75" customHeight="1">
      <c r="B179" s="18"/>
      <c r="C179" s="18"/>
      <c r="D179" s="18"/>
      <c r="E179" s="18"/>
      <c r="F179" s="18"/>
      <c r="G179" s="19"/>
      <c r="H179" s="27"/>
      <c r="I179" s="27"/>
      <c r="J179" s="27"/>
      <c r="K179" s="27"/>
      <c r="L179" s="27"/>
      <c r="M179" s="21"/>
      <c r="N179" s="27"/>
      <c r="O179" s="27"/>
      <c r="P179" s="27"/>
      <c r="Q179" s="27"/>
      <c r="R179" s="27"/>
      <c r="S179" s="21"/>
      <c r="T179" s="28"/>
      <c r="U179" s="28"/>
      <c r="V179" s="28"/>
      <c r="W179" s="28"/>
      <c r="X179" s="28"/>
      <c r="Y179" s="19"/>
      <c r="Z179" s="18"/>
      <c r="AE179" s="19"/>
      <c r="AH179" s="24"/>
      <c r="AI179" s="30"/>
      <c r="AJ179" s="30"/>
      <c r="AK179" s="30"/>
      <c r="AL179" s="24"/>
      <c r="AM179" s="24"/>
    </row>
    <row r="180" ht="15.75" customHeight="1">
      <c r="B180" s="18"/>
      <c r="C180" s="18"/>
      <c r="D180" s="18"/>
      <c r="E180" s="18"/>
      <c r="F180" s="18"/>
      <c r="G180" s="19"/>
      <c r="H180" s="27"/>
      <c r="I180" s="27"/>
      <c r="J180" s="27"/>
      <c r="K180" s="27"/>
      <c r="L180" s="27"/>
      <c r="M180" s="21"/>
      <c r="N180" s="27"/>
      <c r="O180" s="27"/>
      <c r="P180" s="27"/>
      <c r="Q180" s="27"/>
      <c r="R180" s="27"/>
      <c r="S180" s="21"/>
      <c r="T180" s="28"/>
      <c r="U180" s="28"/>
      <c r="V180" s="28"/>
      <c r="W180" s="28"/>
      <c r="X180" s="28"/>
      <c r="Y180" s="19"/>
      <c r="Z180" s="18"/>
      <c r="AE180" s="19"/>
      <c r="AH180" s="24"/>
      <c r="AI180" s="30"/>
      <c r="AJ180" s="30"/>
      <c r="AK180" s="30"/>
      <c r="AL180" s="24"/>
      <c r="AM180" s="24"/>
    </row>
    <row r="181" ht="15.75" customHeight="1">
      <c r="B181" s="18"/>
      <c r="C181" s="18"/>
      <c r="D181" s="18"/>
      <c r="E181" s="18"/>
      <c r="F181" s="18"/>
      <c r="G181" s="19"/>
      <c r="H181" s="27"/>
      <c r="I181" s="27"/>
      <c r="J181" s="27"/>
      <c r="K181" s="27"/>
      <c r="L181" s="27"/>
      <c r="M181" s="21"/>
      <c r="N181" s="27"/>
      <c r="O181" s="27"/>
      <c r="P181" s="27"/>
      <c r="Q181" s="27"/>
      <c r="R181" s="27"/>
      <c r="S181" s="21"/>
      <c r="T181" s="28"/>
      <c r="U181" s="28"/>
      <c r="V181" s="28"/>
      <c r="W181" s="28"/>
      <c r="X181" s="28"/>
      <c r="Y181" s="19"/>
      <c r="Z181" s="18"/>
      <c r="AE181" s="19"/>
      <c r="AH181" s="24"/>
      <c r="AI181" s="30"/>
      <c r="AJ181" s="30"/>
      <c r="AK181" s="30"/>
      <c r="AL181" s="24"/>
      <c r="AM181" s="24"/>
    </row>
    <row r="182" ht="15.75" customHeight="1">
      <c r="B182" s="18"/>
      <c r="C182" s="18"/>
      <c r="D182" s="18"/>
      <c r="E182" s="18"/>
      <c r="F182" s="18"/>
      <c r="G182" s="19"/>
      <c r="H182" s="27"/>
      <c r="I182" s="27"/>
      <c r="J182" s="27"/>
      <c r="K182" s="27"/>
      <c r="L182" s="27"/>
      <c r="M182" s="21"/>
      <c r="N182" s="27"/>
      <c r="O182" s="27"/>
      <c r="P182" s="27"/>
      <c r="Q182" s="27"/>
      <c r="R182" s="27"/>
      <c r="S182" s="21"/>
      <c r="T182" s="28"/>
      <c r="U182" s="28"/>
      <c r="V182" s="28"/>
      <c r="W182" s="28"/>
      <c r="X182" s="28"/>
      <c r="Y182" s="19"/>
      <c r="Z182" s="18"/>
      <c r="AE182" s="19"/>
      <c r="AH182" s="24"/>
      <c r="AI182" s="30"/>
      <c r="AJ182" s="30"/>
      <c r="AK182" s="30"/>
      <c r="AL182" s="24"/>
      <c r="AM182" s="24"/>
    </row>
    <row r="183" ht="15.75" customHeight="1">
      <c r="B183" s="18"/>
      <c r="C183" s="18"/>
      <c r="D183" s="18"/>
      <c r="E183" s="18"/>
      <c r="F183" s="18"/>
      <c r="G183" s="19"/>
      <c r="H183" s="27"/>
      <c r="I183" s="27"/>
      <c r="J183" s="27"/>
      <c r="K183" s="27"/>
      <c r="L183" s="27"/>
      <c r="M183" s="21"/>
      <c r="N183" s="27"/>
      <c r="O183" s="27"/>
      <c r="P183" s="27"/>
      <c r="Q183" s="27"/>
      <c r="R183" s="27"/>
      <c r="S183" s="21"/>
      <c r="T183" s="28"/>
      <c r="U183" s="28"/>
      <c r="V183" s="28"/>
      <c r="W183" s="28"/>
      <c r="X183" s="28"/>
      <c r="Y183" s="19"/>
      <c r="Z183" s="18"/>
      <c r="AE183" s="19"/>
      <c r="AH183" s="24"/>
      <c r="AI183" s="30"/>
      <c r="AJ183" s="30"/>
      <c r="AK183" s="30"/>
      <c r="AL183" s="24"/>
      <c r="AM183" s="24"/>
    </row>
    <row r="184" ht="15.75" customHeight="1">
      <c r="B184" s="18"/>
      <c r="C184" s="18"/>
      <c r="D184" s="18"/>
      <c r="E184" s="18"/>
      <c r="F184" s="18"/>
      <c r="G184" s="19"/>
      <c r="H184" s="27"/>
      <c r="I184" s="27"/>
      <c r="J184" s="27"/>
      <c r="K184" s="27"/>
      <c r="L184" s="27"/>
      <c r="M184" s="21"/>
      <c r="N184" s="27"/>
      <c r="O184" s="27"/>
      <c r="P184" s="27"/>
      <c r="Q184" s="27"/>
      <c r="R184" s="27"/>
      <c r="S184" s="21"/>
      <c r="T184" s="28"/>
      <c r="U184" s="28"/>
      <c r="V184" s="28"/>
      <c r="W184" s="28"/>
      <c r="X184" s="28"/>
      <c r="Y184" s="19"/>
      <c r="Z184" s="18"/>
      <c r="AE184" s="19"/>
      <c r="AH184" s="24"/>
      <c r="AI184" s="30"/>
      <c r="AJ184" s="30"/>
      <c r="AK184" s="30"/>
      <c r="AL184" s="24"/>
      <c r="AM184" s="24"/>
    </row>
    <row r="185" ht="15.75" customHeight="1">
      <c r="B185" s="18"/>
      <c r="C185" s="18"/>
      <c r="D185" s="18"/>
      <c r="E185" s="18"/>
      <c r="F185" s="18"/>
      <c r="G185" s="19"/>
      <c r="H185" s="27"/>
      <c r="I185" s="27"/>
      <c r="J185" s="27"/>
      <c r="K185" s="27"/>
      <c r="L185" s="27"/>
      <c r="M185" s="21"/>
      <c r="N185" s="27"/>
      <c r="O185" s="27"/>
      <c r="P185" s="27"/>
      <c r="Q185" s="27"/>
      <c r="R185" s="27"/>
      <c r="S185" s="21"/>
      <c r="T185" s="28"/>
      <c r="U185" s="28"/>
      <c r="V185" s="28"/>
      <c r="W185" s="28"/>
      <c r="X185" s="28"/>
      <c r="Y185" s="19"/>
      <c r="Z185" s="18"/>
      <c r="AE185" s="19"/>
      <c r="AH185" s="24"/>
      <c r="AI185" s="30"/>
      <c r="AJ185" s="30"/>
      <c r="AK185" s="30"/>
      <c r="AL185" s="24"/>
      <c r="AM185" s="24"/>
    </row>
    <row r="186" ht="15.75" customHeight="1">
      <c r="B186" s="18"/>
      <c r="C186" s="18"/>
      <c r="D186" s="18"/>
      <c r="E186" s="18"/>
      <c r="F186" s="18"/>
      <c r="G186" s="19"/>
      <c r="H186" s="27"/>
      <c r="I186" s="27"/>
      <c r="J186" s="27"/>
      <c r="K186" s="27"/>
      <c r="L186" s="27"/>
      <c r="M186" s="21"/>
      <c r="N186" s="27"/>
      <c r="O186" s="27"/>
      <c r="P186" s="27"/>
      <c r="Q186" s="27"/>
      <c r="R186" s="27"/>
      <c r="S186" s="21"/>
      <c r="T186" s="28"/>
      <c r="U186" s="28"/>
      <c r="V186" s="28"/>
      <c r="W186" s="28"/>
      <c r="X186" s="28"/>
      <c r="Y186" s="19"/>
      <c r="Z186" s="18"/>
      <c r="AE186" s="19"/>
      <c r="AH186" s="24"/>
      <c r="AI186" s="30"/>
      <c r="AJ186" s="30"/>
      <c r="AK186" s="30"/>
      <c r="AL186" s="24"/>
      <c r="AM186" s="24"/>
    </row>
    <row r="187" ht="15.75" customHeight="1">
      <c r="B187" s="18"/>
      <c r="C187" s="18"/>
      <c r="D187" s="18"/>
      <c r="E187" s="18"/>
      <c r="F187" s="18"/>
      <c r="G187" s="19"/>
      <c r="H187" s="27"/>
      <c r="I187" s="27"/>
      <c r="J187" s="27"/>
      <c r="K187" s="27"/>
      <c r="L187" s="27"/>
      <c r="M187" s="21"/>
      <c r="N187" s="27"/>
      <c r="O187" s="27"/>
      <c r="P187" s="27"/>
      <c r="Q187" s="27"/>
      <c r="R187" s="27"/>
      <c r="S187" s="21"/>
      <c r="T187" s="28"/>
      <c r="U187" s="28"/>
      <c r="V187" s="28"/>
      <c r="W187" s="28"/>
      <c r="X187" s="28"/>
      <c r="Y187" s="19"/>
      <c r="Z187" s="18"/>
      <c r="AE187" s="19"/>
      <c r="AH187" s="24"/>
      <c r="AI187" s="30"/>
      <c r="AJ187" s="30"/>
      <c r="AK187" s="30"/>
      <c r="AL187" s="24"/>
      <c r="AM187" s="24"/>
    </row>
    <row r="188" ht="15.75" customHeight="1">
      <c r="B188" s="18"/>
      <c r="C188" s="18"/>
      <c r="D188" s="18"/>
      <c r="E188" s="18"/>
      <c r="F188" s="18"/>
      <c r="G188" s="19"/>
      <c r="H188" s="27"/>
      <c r="I188" s="27"/>
      <c r="J188" s="27"/>
      <c r="K188" s="27"/>
      <c r="L188" s="27"/>
      <c r="M188" s="21"/>
      <c r="N188" s="27"/>
      <c r="O188" s="27"/>
      <c r="P188" s="27"/>
      <c r="Q188" s="27"/>
      <c r="R188" s="27"/>
      <c r="S188" s="21"/>
      <c r="T188" s="28"/>
      <c r="U188" s="28"/>
      <c r="V188" s="28"/>
      <c r="W188" s="28"/>
      <c r="X188" s="28"/>
      <c r="Y188" s="19"/>
      <c r="Z188" s="18"/>
      <c r="AE188" s="19"/>
      <c r="AH188" s="24"/>
      <c r="AI188" s="30"/>
      <c r="AJ188" s="30"/>
      <c r="AK188" s="30"/>
      <c r="AL188" s="24"/>
      <c r="AM188" s="24"/>
    </row>
    <row r="189" ht="15.75" customHeight="1">
      <c r="B189" s="18"/>
      <c r="C189" s="18"/>
      <c r="D189" s="18"/>
      <c r="E189" s="18"/>
      <c r="F189" s="18"/>
      <c r="G189" s="19"/>
      <c r="H189" s="27"/>
      <c r="I189" s="27"/>
      <c r="J189" s="27"/>
      <c r="K189" s="27"/>
      <c r="L189" s="27"/>
      <c r="M189" s="21"/>
      <c r="N189" s="27"/>
      <c r="O189" s="27"/>
      <c r="P189" s="27"/>
      <c r="Q189" s="27"/>
      <c r="R189" s="27"/>
      <c r="S189" s="21"/>
      <c r="T189" s="28"/>
      <c r="U189" s="28"/>
      <c r="V189" s="28"/>
      <c r="W189" s="28"/>
      <c r="X189" s="28"/>
      <c r="Y189" s="19"/>
      <c r="Z189" s="18"/>
      <c r="AE189" s="19"/>
      <c r="AH189" s="24"/>
      <c r="AI189" s="30"/>
      <c r="AJ189" s="30"/>
      <c r="AK189" s="30"/>
      <c r="AL189" s="24"/>
      <c r="AM189" s="24"/>
    </row>
    <row r="190" ht="15.75" customHeight="1">
      <c r="B190" s="18"/>
      <c r="C190" s="18"/>
      <c r="D190" s="18"/>
      <c r="E190" s="18"/>
      <c r="F190" s="18"/>
      <c r="G190" s="19"/>
      <c r="H190" s="27"/>
      <c r="I190" s="27"/>
      <c r="J190" s="27"/>
      <c r="K190" s="27"/>
      <c r="L190" s="27"/>
      <c r="M190" s="21"/>
      <c r="N190" s="27"/>
      <c r="O190" s="27"/>
      <c r="P190" s="27"/>
      <c r="Q190" s="27"/>
      <c r="R190" s="27"/>
      <c r="S190" s="21"/>
      <c r="T190" s="28"/>
      <c r="U190" s="28"/>
      <c r="V190" s="28"/>
      <c r="W190" s="28"/>
      <c r="X190" s="28"/>
      <c r="Y190" s="19"/>
      <c r="Z190" s="18"/>
      <c r="AE190" s="19"/>
      <c r="AH190" s="24"/>
      <c r="AI190" s="30"/>
      <c r="AJ190" s="30"/>
      <c r="AK190" s="30"/>
      <c r="AL190" s="24"/>
      <c r="AM190" s="24"/>
    </row>
    <row r="191" ht="15.75" customHeight="1">
      <c r="B191" s="18"/>
      <c r="C191" s="18"/>
      <c r="D191" s="18"/>
      <c r="E191" s="18"/>
      <c r="F191" s="18"/>
      <c r="G191" s="19"/>
      <c r="H191" s="27"/>
      <c r="I191" s="27"/>
      <c r="J191" s="27"/>
      <c r="K191" s="27"/>
      <c r="L191" s="27"/>
      <c r="M191" s="21"/>
      <c r="N191" s="27"/>
      <c r="O191" s="27"/>
      <c r="P191" s="27"/>
      <c r="Q191" s="27"/>
      <c r="R191" s="27"/>
      <c r="S191" s="21"/>
      <c r="T191" s="28"/>
      <c r="U191" s="28"/>
      <c r="V191" s="28"/>
      <c r="W191" s="28"/>
      <c r="X191" s="28"/>
      <c r="Y191" s="19"/>
      <c r="Z191" s="18"/>
      <c r="AE191" s="19"/>
      <c r="AH191" s="24"/>
      <c r="AI191" s="30"/>
      <c r="AJ191" s="30"/>
      <c r="AK191" s="30"/>
      <c r="AL191" s="24"/>
      <c r="AM191" s="24"/>
    </row>
    <row r="192" ht="15.75" customHeight="1">
      <c r="B192" s="18"/>
      <c r="C192" s="18"/>
      <c r="D192" s="18"/>
      <c r="E192" s="18"/>
      <c r="F192" s="18"/>
      <c r="G192" s="19"/>
      <c r="H192" s="27"/>
      <c r="I192" s="27"/>
      <c r="J192" s="27"/>
      <c r="K192" s="27"/>
      <c r="L192" s="27"/>
      <c r="M192" s="21"/>
      <c r="N192" s="27"/>
      <c r="O192" s="27"/>
      <c r="P192" s="27"/>
      <c r="Q192" s="27"/>
      <c r="R192" s="27"/>
      <c r="S192" s="21"/>
      <c r="T192" s="28"/>
      <c r="U192" s="28"/>
      <c r="V192" s="28"/>
      <c r="W192" s="28"/>
      <c r="X192" s="28"/>
      <c r="Y192" s="19"/>
      <c r="Z192" s="18"/>
      <c r="AE192" s="19"/>
      <c r="AH192" s="24"/>
      <c r="AI192" s="30"/>
      <c r="AJ192" s="30"/>
      <c r="AK192" s="30"/>
      <c r="AL192" s="24"/>
      <c r="AM192" s="24"/>
    </row>
    <row r="193" ht="15.75" customHeight="1">
      <c r="B193" s="18"/>
      <c r="C193" s="18"/>
      <c r="D193" s="18"/>
      <c r="E193" s="18"/>
      <c r="F193" s="18"/>
      <c r="G193" s="19"/>
      <c r="H193" s="27"/>
      <c r="I193" s="27"/>
      <c r="J193" s="27"/>
      <c r="K193" s="27"/>
      <c r="L193" s="27"/>
      <c r="M193" s="21"/>
      <c r="N193" s="27"/>
      <c r="O193" s="27"/>
      <c r="P193" s="27"/>
      <c r="Q193" s="27"/>
      <c r="R193" s="27"/>
      <c r="S193" s="21"/>
      <c r="T193" s="28"/>
      <c r="U193" s="28"/>
      <c r="V193" s="28"/>
      <c r="W193" s="28"/>
      <c r="X193" s="28"/>
      <c r="Y193" s="19"/>
      <c r="Z193" s="18"/>
      <c r="AE193" s="19"/>
      <c r="AH193" s="24"/>
      <c r="AI193" s="30"/>
      <c r="AJ193" s="30"/>
      <c r="AK193" s="30"/>
      <c r="AL193" s="24"/>
      <c r="AM193" s="24"/>
    </row>
    <row r="194" ht="15.75" customHeight="1">
      <c r="B194" s="18"/>
      <c r="C194" s="18"/>
      <c r="D194" s="18"/>
      <c r="E194" s="18"/>
      <c r="F194" s="18"/>
      <c r="G194" s="19"/>
      <c r="H194" s="27"/>
      <c r="I194" s="27"/>
      <c r="J194" s="27"/>
      <c r="K194" s="27"/>
      <c r="L194" s="27"/>
      <c r="M194" s="21"/>
      <c r="N194" s="27"/>
      <c r="O194" s="27"/>
      <c r="P194" s="27"/>
      <c r="Q194" s="27"/>
      <c r="R194" s="27"/>
      <c r="S194" s="21"/>
      <c r="T194" s="28"/>
      <c r="U194" s="28"/>
      <c r="V194" s="28"/>
      <c r="W194" s="28"/>
      <c r="X194" s="28"/>
      <c r="Y194" s="19"/>
      <c r="Z194" s="18"/>
      <c r="AE194" s="19"/>
      <c r="AH194" s="24"/>
      <c r="AI194" s="30"/>
      <c r="AJ194" s="30"/>
      <c r="AK194" s="30"/>
      <c r="AL194" s="24"/>
      <c r="AM194" s="24"/>
    </row>
    <row r="195" ht="15.75" customHeight="1">
      <c r="B195" s="18"/>
      <c r="C195" s="18"/>
      <c r="D195" s="18"/>
      <c r="E195" s="18"/>
      <c r="F195" s="18"/>
      <c r="G195" s="19"/>
      <c r="H195" s="27"/>
      <c r="I195" s="27"/>
      <c r="J195" s="27"/>
      <c r="K195" s="27"/>
      <c r="L195" s="27"/>
      <c r="M195" s="21"/>
      <c r="N195" s="27"/>
      <c r="O195" s="27"/>
      <c r="P195" s="27"/>
      <c r="Q195" s="27"/>
      <c r="R195" s="27"/>
      <c r="S195" s="21"/>
      <c r="T195" s="28"/>
      <c r="U195" s="28"/>
      <c r="V195" s="28"/>
      <c r="W195" s="28"/>
      <c r="X195" s="28"/>
      <c r="Y195" s="19"/>
      <c r="Z195" s="18"/>
      <c r="AE195" s="19"/>
      <c r="AH195" s="24"/>
      <c r="AI195" s="30"/>
      <c r="AJ195" s="30"/>
      <c r="AK195" s="30"/>
      <c r="AL195" s="24"/>
      <c r="AM195" s="24"/>
    </row>
    <row r="196" ht="15.75" customHeight="1">
      <c r="B196" s="18"/>
      <c r="C196" s="18"/>
      <c r="D196" s="18"/>
      <c r="E196" s="18"/>
      <c r="F196" s="18"/>
      <c r="G196" s="19"/>
      <c r="H196" s="27"/>
      <c r="I196" s="27"/>
      <c r="J196" s="27"/>
      <c r="K196" s="27"/>
      <c r="L196" s="27"/>
      <c r="M196" s="21"/>
      <c r="N196" s="27"/>
      <c r="O196" s="27"/>
      <c r="P196" s="27"/>
      <c r="Q196" s="27"/>
      <c r="R196" s="27"/>
      <c r="S196" s="21"/>
      <c r="T196" s="28"/>
      <c r="U196" s="28"/>
      <c r="V196" s="28"/>
      <c r="W196" s="28"/>
      <c r="X196" s="28"/>
      <c r="Y196" s="19"/>
      <c r="Z196" s="18"/>
      <c r="AE196" s="19"/>
      <c r="AH196" s="24"/>
      <c r="AI196" s="30"/>
      <c r="AJ196" s="30"/>
      <c r="AK196" s="30"/>
      <c r="AL196" s="24"/>
      <c r="AM196" s="24"/>
    </row>
    <row r="197" ht="15.75" customHeight="1">
      <c r="B197" s="18"/>
      <c r="C197" s="18"/>
      <c r="D197" s="18"/>
      <c r="E197" s="18"/>
      <c r="F197" s="18"/>
      <c r="G197" s="19"/>
      <c r="H197" s="27"/>
      <c r="I197" s="27"/>
      <c r="J197" s="27"/>
      <c r="K197" s="27"/>
      <c r="L197" s="27"/>
      <c r="M197" s="21"/>
      <c r="N197" s="27"/>
      <c r="O197" s="27"/>
      <c r="P197" s="27"/>
      <c r="Q197" s="27"/>
      <c r="R197" s="27"/>
      <c r="S197" s="21"/>
      <c r="T197" s="28"/>
      <c r="U197" s="28"/>
      <c r="V197" s="28"/>
      <c r="W197" s="28"/>
      <c r="X197" s="28"/>
      <c r="Y197" s="19"/>
      <c r="Z197" s="18"/>
      <c r="AE197" s="19"/>
      <c r="AH197" s="24"/>
      <c r="AI197" s="30"/>
      <c r="AJ197" s="30"/>
      <c r="AK197" s="30"/>
      <c r="AL197" s="24"/>
      <c r="AM197" s="24"/>
    </row>
    <row r="198" ht="15.75" customHeight="1">
      <c r="B198" s="18"/>
      <c r="C198" s="18"/>
      <c r="D198" s="18"/>
      <c r="E198" s="18"/>
      <c r="F198" s="18"/>
      <c r="G198" s="19"/>
      <c r="H198" s="27"/>
      <c r="I198" s="27"/>
      <c r="J198" s="27"/>
      <c r="K198" s="27"/>
      <c r="L198" s="27"/>
      <c r="M198" s="21"/>
      <c r="N198" s="27"/>
      <c r="O198" s="27"/>
      <c r="P198" s="27"/>
      <c r="Q198" s="27"/>
      <c r="R198" s="27"/>
      <c r="S198" s="21"/>
      <c r="T198" s="28"/>
      <c r="U198" s="28"/>
      <c r="V198" s="28"/>
      <c r="W198" s="28"/>
      <c r="X198" s="28"/>
      <c r="Y198" s="19"/>
      <c r="Z198" s="18"/>
      <c r="AE198" s="19"/>
      <c r="AH198" s="24"/>
      <c r="AI198" s="30"/>
      <c r="AJ198" s="30"/>
      <c r="AK198" s="30"/>
      <c r="AL198" s="24"/>
      <c r="AM198" s="24"/>
    </row>
    <row r="199" ht="15.75" customHeight="1">
      <c r="B199" s="18"/>
      <c r="C199" s="18"/>
      <c r="D199" s="18"/>
      <c r="E199" s="18"/>
      <c r="F199" s="18"/>
      <c r="G199" s="19"/>
      <c r="H199" s="27"/>
      <c r="I199" s="27"/>
      <c r="J199" s="27"/>
      <c r="K199" s="27"/>
      <c r="L199" s="27"/>
      <c r="M199" s="21"/>
      <c r="N199" s="27"/>
      <c r="O199" s="27"/>
      <c r="P199" s="27"/>
      <c r="Q199" s="27"/>
      <c r="R199" s="27"/>
      <c r="S199" s="21"/>
      <c r="T199" s="28"/>
      <c r="U199" s="28"/>
      <c r="V199" s="28"/>
      <c r="W199" s="28"/>
      <c r="X199" s="28"/>
      <c r="Y199" s="19"/>
      <c r="Z199" s="18"/>
      <c r="AE199" s="19"/>
      <c r="AH199" s="24"/>
      <c r="AI199" s="30"/>
      <c r="AJ199" s="30"/>
      <c r="AK199" s="30"/>
      <c r="AL199" s="24"/>
      <c r="AM199" s="24"/>
    </row>
    <row r="200" ht="15.75" customHeight="1">
      <c r="B200" s="18"/>
      <c r="C200" s="18"/>
      <c r="D200" s="18"/>
      <c r="E200" s="18"/>
      <c r="F200" s="18"/>
      <c r="G200" s="19"/>
      <c r="H200" s="27"/>
      <c r="I200" s="27"/>
      <c r="J200" s="27"/>
      <c r="K200" s="27"/>
      <c r="L200" s="27"/>
      <c r="M200" s="21"/>
      <c r="N200" s="27"/>
      <c r="O200" s="27"/>
      <c r="P200" s="27"/>
      <c r="Q200" s="27"/>
      <c r="R200" s="27"/>
      <c r="S200" s="21"/>
      <c r="T200" s="28"/>
      <c r="U200" s="28"/>
      <c r="V200" s="28"/>
      <c r="W200" s="28"/>
      <c r="X200" s="28"/>
      <c r="Y200" s="19"/>
      <c r="Z200" s="18"/>
      <c r="AE200" s="19"/>
      <c r="AH200" s="24"/>
      <c r="AI200" s="30"/>
      <c r="AJ200" s="30"/>
      <c r="AK200" s="30"/>
      <c r="AL200" s="24"/>
      <c r="AM200" s="24"/>
    </row>
    <row r="201" ht="15.75" customHeight="1">
      <c r="B201" s="18"/>
      <c r="C201" s="18"/>
      <c r="D201" s="18"/>
      <c r="E201" s="18"/>
      <c r="F201" s="18"/>
      <c r="G201" s="19"/>
      <c r="H201" s="27"/>
      <c r="I201" s="27"/>
      <c r="J201" s="27"/>
      <c r="K201" s="27"/>
      <c r="L201" s="27"/>
      <c r="M201" s="21"/>
      <c r="N201" s="27"/>
      <c r="O201" s="27"/>
      <c r="P201" s="27"/>
      <c r="Q201" s="27"/>
      <c r="R201" s="27"/>
      <c r="S201" s="21"/>
      <c r="T201" s="28"/>
      <c r="U201" s="28"/>
      <c r="V201" s="28"/>
      <c r="W201" s="28"/>
      <c r="X201" s="28"/>
      <c r="Y201" s="19"/>
      <c r="Z201" s="18"/>
      <c r="AE201" s="19"/>
      <c r="AH201" s="24"/>
      <c r="AI201" s="30"/>
      <c r="AJ201" s="30"/>
      <c r="AK201" s="30"/>
      <c r="AL201" s="24"/>
      <c r="AM201" s="24"/>
    </row>
    <row r="202" ht="15.75" customHeight="1">
      <c r="B202" s="18"/>
      <c r="C202" s="18"/>
      <c r="D202" s="18"/>
      <c r="E202" s="18"/>
      <c r="F202" s="18"/>
      <c r="G202" s="19"/>
      <c r="H202" s="27"/>
      <c r="I202" s="27"/>
      <c r="J202" s="27"/>
      <c r="K202" s="27"/>
      <c r="L202" s="27"/>
      <c r="M202" s="21"/>
      <c r="N202" s="27"/>
      <c r="O202" s="27"/>
      <c r="P202" s="27"/>
      <c r="Q202" s="27"/>
      <c r="R202" s="27"/>
      <c r="S202" s="21"/>
      <c r="T202" s="28"/>
      <c r="U202" s="28"/>
      <c r="V202" s="28"/>
      <c r="W202" s="28"/>
      <c r="X202" s="28"/>
      <c r="Y202" s="19"/>
      <c r="Z202" s="18"/>
      <c r="AE202" s="19"/>
      <c r="AH202" s="24"/>
      <c r="AI202" s="30"/>
      <c r="AJ202" s="30"/>
      <c r="AK202" s="30"/>
      <c r="AL202" s="24"/>
      <c r="AM202" s="24"/>
    </row>
    <row r="203" ht="15.75" customHeight="1">
      <c r="B203" s="18"/>
      <c r="C203" s="18"/>
      <c r="D203" s="18"/>
      <c r="E203" s="18"/>
      <c r="F203" s="18"/>
      <c r="G203" s="19"/>
      <c r="H203" s="27"/>
      <c r="I203" s="27"/>
      <c r="J203" s="27"/>
      <c r="K203" s="27"/>
      <c r="L203" s="27"/>
      <c r="M203" s="21"/>
      <c r="N203" s="27"/>
      <c r="O203" s="27"/>
      <c r="P203" s="27"/>
      <c r="Q203" s="27"/>
      <c r="R203" s="27"/>
      <c r="S203" s="21"/>
      <c r="T203" s="28"/>
      <c r="U203" s="28"/>
      <c r="V203" s="28"/>
      <c r="W203" s="28"/>
      <c r="X203" s="28"/>
      <c r="Y203" s="19"/>
      <c r="Z203" s="18"/>
      <c r="AE203" s="19"/>
      <c r="AH203" s="24"/>
      <c r="AI203" s="30"/>
      <c r="AJ203" s="30"/>
      <c r="AK203" s="30"/>
      <c r="AL203" s="24"/>
      <c r="AM203" s="24"/>
    </row>
    <row r="204" ht="15.75" customHeight="1">
      <c r="B204" s="18"/>
      <c r="C204" s="18"/>
      <c r="D204" s="18"/>
      <c r="E204" s="18"/>
      <c r="F204" s="18"/>
      <c r="G204" s="19"/>
      <c r="H204" s="27"/>
      <c r="I204" s="27"/>
      <c r="J204" s="27"/>
      <c r="K204" s="27"/>
      <c r="L204" s="27"/>
      <c r="M204" s="21"/>
      <c r="N204" s="27"/>
      <c r="O204" s="27"/>
      <c r="P204" s="27"/>
      <c r="Q204" s="27"/>
      <c r="R204" s="27"/>
      <c r="S204" s="21"/>
      <c r="T204" s="28"/>
      <c r="U204" s="28"/>
      <c r="V204" s="28"/>
      <c r="W204" s="28"/>
      <c r="X204" s="28"/>
      <c r="Y204" s="19"/>
      <c r="Z204" s="18"/>
      <c r="AE204" s="19"/>
      <c r="AH204" s="24"/>
      <c r="AI204" s="30"/>
      <c r="AJ204" s="30"/>
      <c r="AK204" s="30"/>
      <c r="AL204" s="24"/>
      <c r="AM204" s="24"/>
    </row>
    <row r="205" ht="15.75" customHeight="1">
      <c r="B205" s="18"/>
      <c r="C205" s="18"/>
      <c r="D205" s="18"/>
      <c r="E205" s="18"/>
      <c r="F205" s="18"/>
      <c r="G205" s="19"/>
      <c r="H205" s="27"/>
      <c r="I205" s="27"/>
      <c r="J205" s="27"/>
      <c r="K205" s="27"/>
      <c r="L205" s="27"/>
      <c r="M205" s="21"/>
      <c r="N205" s="27"/>
      <c r="O205" s="27"/>
      <c r="P205" s="27"/>
      <c r="Q205" s="27"/>
      <c r="R205" s="27"/>
      <c r="S205" s="21"/>
      <c r="T205" s="28"/>
      <c r="U205" s="28"/>
      <c r="V205" s="28"/>
      <c r="W205" s="28"/>
      <c r="X205" s="28"/>
      <c r="Y205" s="19"/>
      <c r="Z205" s="18"/>
      <c r="AE205" s="19"/>
      <c r="AH205" s="24"/>
      <c r="AI205" s="30"/>
      <c r="AJ205" s="30"/>
      <c r="AK205" s="30"/>
      <c r="AL205" s="24"/>
      <c r="AM205" s="24"/>
    </row>
    <row r="206" ht="15.75" customHeight="1">
      <c r="B206" s="18"/>
      <c r="C206" s="18"/>
      <c r="D206" s="18"/>
      <c r="E206" s="18"/>
      <c r="F206" s="18"/>
      <c r="G206" s="19"/>
      <c r="H206" s="27"/>
      <c r="I206" s="27"/>
      <c r="J206" s="27"/>
      <c r="K206" s="27"/>
      <c r="L206" s="27"/>
      <c r="M206" s="21"/>
      <c r="N206" s="27"/>
      <c r="O206" s="27"/>
      <c r="P206" s="27"/>
      <c r="Q206" s="27"/>
      <c r="R206" s="27"/>
      <c r="S206" s="21"/>
      <c r="T206" s="28"/>
      <c r="U206" s="28"/>
      <c r="V206" s="28"/>
      <c r="W206" s="28"/>
      <c r="X206" s="28"/>
      <c r="Y206" s="19"/>
      <c r="Z206" s="18"/>
      <c r="AE206" s="19"/>
      <c r="AH206" s="24"/>
      <c r="AI206" s="30"/>
      <c r="AJ206" s="30"/>
      <c r="AK206" s="30"/>
      <c r="AL206" s="24"/>
      <c r="AM206" s="24"/>
    </row>
    <row r="207" ht="15.75" customHeight="1">
      <c r="B207" s="18"/>
      <c r="C207" s="18"/>
      <c r="D207" s="18"/>
      <c r="E207" s="18"/>
      <c r="F207" s="18"/>
      <c r="G207" s="19"/>
      <c r="H207" s="27"/>
      <c r="I207" s="27"/>
      <c r="J207" s="27"/>
      <c r="K207" s="27"/>
      <c r="L207" s="27"/>
      <c r="M207" s="21"/>
      <c r="N207" s="27"/>
      <c r="O207" s="27"/>
      <c r="P207" s="27"/>
      <c r="Q207" s="27"/>
      <c r="R207" s="27"/>
      <c r="S207" s="21"/>
      <c r="T207" s="28"/>
      <c r="U207" s="28"/>
      <c r="V207" s="28"/>
      <c r="W207" s="28"/>
      <c r="X207" s="28"/>
      <c r="Y207" s="19"/>
      <c r="Z207" s="18"/>
      <c r="AE207" s="19"/>
      <c r="AH207" s="24"/>
      <c r="AI207" s="30"/>
      <c r="AJ207" s="30"/>
      <c r="AK207" s="30"/>
      <c r="AL207" s="24"/>
      <c r="AM207" s="24"/>
    </row>
    <row r="208" ht="15.75" customHeight="1">
      <c r="B208" s="18"/>
      <c r="C208" s="18"/>
      <c r="D208" s="18"/>
      <c r="E208" s="18"/>
      <c r="F208" s="18"/>
      <c r="G208" s="19"/>
      <c r="H208" s="27"/>
      <c r="I208" s="27"/>
      <c r="J208" s="27"/>
      <c r="K208" s="27"/>
      <c r="L208" s="27"/>
      <c r="M208" s="21"/>
      <c r="N208" s="27"/>
      <c r="O208" s="27"/>
      <c r="P208" s="27"/>
      <c r="Q208" s="27"/>
      <c r="R208" s="27"/>
      <c r="S208" s="21"/>
      <c r="T208" s="28"/>
      <c r="U208" s="28"/>
      <c r="V208" s="28"/>
      <c r="W208" s="28"/>
      <c r="X208" s="28"/>
      <c r="Y208" s="19"/>
      <c r="Z208" s="18"/>
      <c r="AE208" s="19"/>
      <c r="AH208" s="24"/>
      <c r="AI208" s="30"/>
      <c r="AJ208" s="30"/>
      <c r="AK208" s="30"/>
      <c r="AL208" s="24"/>
      <c r="AM208" s="24"/>
    </row>
    <row r="209" ht="15.75" customHeight="1">
      <c r="B209" s="18"/>
      <c r="C209" s="18"/>
      <c r="D209" s="18"/>
      <c r="E209" s="18"/>
      <c r="F209" s="18"/>
      <c r="G209" s="19"/>
      <c r="H209" s="27"/>
      <c r="I209" s="27"/>
      <c r="J209" s="27"/>
      <c r="K209" s="27"/>
      <c r="L209" s="27"/>
      <c r="M209" s="21"/>
      <c r="N209" s="27"/>
      <c r="O209" s="27"/>
      <c r="P209" s="27"/>
      <c r="Q209" s="27"/>
      <c r="R209" s="27"/>
      <c r="S209" s="21"/>
      <c r="T209" s="28"/>
      <c r="U209" s="28"/>
      <c r="V209" s="28"/>
      <c r="W209" s="28"/>
      <c r="X209" s="28"/>
      <c r="Y209" s="19"/>
      <c r="Z209" s="18"/>
      <c r="AE209" s="19"/>
      <c r="AH209" s="24"/>
      <c r="AI209" s="30"/>
      <c r="AJ209" s="30"/>
      <c r="AK209" s="30"/>
      <c r="AL209" s="24"/>
      <c r="AM209" s="24"/>
    </row>
    <row r="210" ht="15.75" customHeight="1">
      <c r="B210" s="18"/>
      <c r="C210" s="18"/>
      <c r="D210" s="18"/>
      <c r="E210" s="18"/>
      <c r="F210" s="18"/>
      <c r="G210" s="19"/>
      <c r="H210" s="27"/>
      <c r="I210" s="27"/>
      <c r="J210" s="27"/>
      <c r="K210" s="27"/>
      <c r="L210" s="27"/>
      <c r="M210" s="21"/>
      <c r="N210" s="27"/>
      <c r="O210" s="27"/>
      <c r="P210" s="27"/>
      <c r="Q210" s="27"/>
      <c r="R210" s="27"/>
      <c r="S210" s="21"/>
      <c r="T210" s="28"/>
      <c r="U210" s="28"/>
      <c r="V210" s="28"/>
      <c r="W210" s="28"/>
      <c r="X210" s="28"/>
      <c r="Y210" s="19"/>
      <c r="Z210" s="18"/>
      <c r="AE210" s="19"/>
      <c r="AH210" s="24"/>
      <c r="AI210" s="30"/>
      <c r="AJ210" s="30"/>
      <c r="AK210" s="30"/>
      <c r="AL210" s="24"/>
      <c r="AM210" s="24"/>
    </row>
    <row r="211" ht="15.75" customHeight="1">
      <c r="B211" s="18"/>
      <c r="C211" s="18"/>
      <c r="D211" s="18"/>
      <c r="E211" s="18"/>
      <c r="F211" s="18"/>
      <c r="G211" s="19"/>
      <c r="H211" s="27"/>
      <c r="I211" s="27"/>
      <c r="J211" s="27"/>
      <c r="K211" s="27"/>
      <c r="L211" s="27"/>
      <c r="M211" s="21"/>
      <c r="N211" s="27"/>
      <c r="O211" s="27"/>
      <c r="P211" s="27"/>
      <c r="Q211" s="27"/>
      <c r="R211" s="27"/>
      <c r="S211" s="21"/>
      <c r="T211" s="28"/>
      <c r="U211" s="28"/>
      <c r="V211" s="28"/>
      <c r="W211" s="28"/>
      <c r="X211" s="28"/>
      <c r="Y211" s="19"/>
      <c r="Z211" s="18"/>
      <c r="AE211" s="19"/>
      <c r="AH211" s="24"/>
      <c r="AI211" s="30"/>
      <c r="AJ211" s="30"/>
      <c r="AK211" s="30"/>
      <c r="AL211" s="24"/>
      <c r="AM211" s="24"/>
    </row>
    <row r="212" ht="15.75" customHeight="1">
      <c r="B212" s="18"/>
      <c r="C212" s="18"/>
      <c r="D212" s="18"/>
      <c r="E212" s="18"/>
      <c r="F212" s="18"/>
      <c r="G212" s="19"/>
      <c r="H212" s="27"/>
      <c r="I212" s="27"/>
      <c r="J212" s="27"/>
      <c r="K212" s="27"/>
      <c r="L212" s="27"/>
      <c r="M212" s="21"/>
      <c r="N212" s="27"/>
      <c r="O212" s="27"/>
      <c r="P212" s="27"/>
      <c r="Q212" s="27"/>
      <c r="R212" s="27"/>
      <c r="S212" s="21"/>
      <c r="T212" s="28"/>
      <c r="U212" s="28"/>
      <c r="V212" s="28"/>
      <c r="W212" s="28"/>
      <c r="X212" s="28"/>
      <c r="Y212" s="19"/>
      <c r="Z212" s="18"/>
      <c r="AE212" s="19"/>
      <c r="AH212" s="24"/>
      <c r="AI212" s="30"/>
      <c r="AJ212" s="30"/>
      <c r="AK212" s="30"/>
      <c r="AL212" s="24"/>
      <c r="AM212" s="24"/>
    </row>
    <row r="213" ht="15.75" customHeight="1">
      <c r="B213" s="18"/>
      <c r="C213" s="18"/>
      <c r="D213" s="18"/>
      <c r="E213" s="18"/>
      <c r="F213" s="18"/>
      <c r="G213" s="19"/>
      <c r="H213" s="27"/>
      <c r="I213" s="27"/>
      <c r="J213" s="27"/>
      <c r="K213" s="27"/>
      <c r="L213" s="27"/>
      <c r="M213" s="21"/>
      <c r="N213" s="27"/>
      <c r="O213" s="27"/>
      <c r="P213" s="27"/>
      <c r="Q213" s="27"/>
      <c r="R213" s="27"/>
      <c r="S213" s="21"/>
      <c r="T213" s="28"/>
      <c r="U213" s="28"/>
      <c r="V213" s="28"/>
      <c r="W213" s="28"/>
      <c r="X213" s="28"/>
      <c r="Y213" s="19"/>
      <c r="Z213" s="18"/>
      <c r="AE213" s="19"/>
      <c r="AH213" s="24"/>
      <c r="AI213" s="30"/>
      <c r="AJ213" s="30"/>
      <c r="AK213" s="30"/>
      <c r="AL213" s="24"/>
      <c r="AM213" s="24"/>
    </row>
    <row r="214" ht="15.75" customHeight="1">
      <c r="B214" s="18"/>
      <c r="C214" s="18"/>
      <c r="D214" s="18"/>
      <c r="E214" s="18"/>
      <c r="F214" s="18"/>
      <c r="G214" s="19"/>
      <c r="H214" s="27"/>
      <c r="I214" s="27"/>
      <c r="J214" s="27"/>
      <c r="K214" s="27"/>
      <c r="L214" s="27"/>
      <c r="M214" s="21"/>
      <c r="N214" s="27"/>
      <c r="O214" s="27"/>
      <c r="P214" s="27"/>
      <c r="Q214" s="27"/>
      <c r="R214" s="27"/>
      <c r="S214" s="21"/>
      <c r="T214" s="28"/>
      <c r="U214" s="28"/>
      <c r="V214" s="28"/>
      <c r="W214" s="28"/>
      <c r="X214" s="28"/>
      <c r="Y214" s="19"/>
      <c r="Z214" s="18"/>
      <c r="AE214" s="19"/>
      <c r="AH214" s="24"/>
      <c r="AI214" s="30"/>
      <c r="AJ214" s="30"/>
      <c r="AK214" s="30"/>
      <c r="AL214" s="24"/>
      <c r="AM214" s="24"/>
    </row>
    <row r="215" ht="15.75" customHeight="1">
      <c r="B215" s="18"/>
      <c r="C215" s="18"/>
      <c r="D215" s="18"/>
      <c r="E215" s="18"/>
      <c r="F215" s="18"/>
      <c r="G215" s="19"/>
      <c r="H215" s="27"/>
      <c r="I215" s="27"/>
      <c r="J215" s="27"/>
      <c r="K215" s="27"/>
      <c r="L215" s="27"/>
      <c r="M215" s="21"/>
      <c r="N215" s="27"/>
      <c r="O215" s="27"/>
      <c r="P215" s="27"/>
      <c r="Q215" s="27"/>
      <c r="R215" s="27"/>
      <c r="S215" s="21"/>
      <c r="T215" s="28"/>
      <c r="U215" s="28"/>
      <c r="V215" s="28"/>
      <c r="W215" s="28"/>
      <c r="X215" s="28"/>
      <c r="Y215" s="19"/>
      <c r="Z215" s="18"/>
      <c r="AE215" s="19"/>
      <c r="AH215" s="24"/>
      <c r="AI215" s="30"/>
      <c r="AJ215" s="30"/>
      <c r="AK215" s="30"/>
      <c r="AL215" s="24"/>
      <c r="AM215" s="24"/>
    </row>
    <row r="216" ht="15.75" customHeight="1">
      <c r="B216" s="18"/>
      <c r="C216" s="18"/>
      <c r="D216" s="18"/>
      <c r="E216" s="18"/>
      <c r="F216" s="18"/>
      <c r="G216" s="19"/>
      <c r="H216" s="27"/>
      <c r="I216" s="27"/>
      <c r="J216" s="27"/>
      <c r="K216" s="27"/>
      <c r="L216" s="27"/>
      <c r="M216" s="21"/>
      <c r="N216" s="27"/>
      <c r="O216" s="27"/>
      <c r="P216" s="27"/>
      <c r="Q216" s="27"/>
      <c r="R216" s="27"/>
      <c r="S216" s="21"/>
      <c r="T216" s="28"/>
      <c r="U216" s="28"/>
      <c r="V216" s="28"/>
      <c r="W216" s="28"/>
      <c r="X216" s="28"/>
      <c r="Y216" s="19"/>
      <c r="Z216" s="18"/>
      <c r="AE216" s="19"/>
      <c r="AH216" s="24"/>
      <c r="AI216" s="30"/>
      <c r="AJ216" s="30"/>
      <c r="AK216" s="30"/>
      <c r="AL216" s="24"/>
      <c r="AM216" s="24"/>
    </row>
    <row r="217" ht="15.75" customHeight="1">
      <c r="B217" s="18"/>
      <c r="C217" s="18"/>
      <c r="D217" s="18"/>
      <c r="E217" s="18"/>
      <c r="F217" s="18"/>
      <c r="G217" s="19"/>
      <c r="H217" s="27"/>
      <c r="I217" s="27"/>
      <c r="J217" s="27"/>
      <c r="K217" s="27"/>
      <c r="L217" s="27"/>
      <c r="M217" s="21"/>
      <c r="N217" s="27"/>
      <c r="O217" s="27"/>
      <c r="P217" s="27"/>
      <c r="Q217" s="27"/>
      <c r="R217" s="27"/>
      <c r="S217" s="21"/>
      <c r="T217" s="28"/>
      <c r="U217" s="28"/>
      <c r="V217" s="28"/>
      <c r="W217" s="28"/>
      <c r="X217" s="28"/>
      <c r="Y217" s="19"/>
      <c r="Z217" s="18"/>
      <c r="AE217" s="19"/>
      <c r="AH217" s="24"/>
      <c r="AI217" s="30"/>
      <c r="AJ217" s="30"/>
      <c r="AK217" s="30"/>
      <c r="AL217" s="24"/>
      <c r="AM217" s="24"/>
    </row>
    <row r="218" ht="15.75" customHeight="1">
      <c r="B218" s="18"/>
      <c r="C218" s="18"/>
      <c r="D218" s="18"/>
      <c r="E218" s="18"/>
      <c r="F218" s="18"/>
      <c r="G218" s="19"/>
      <c r="H218" s="27"/>
      <c r="I218" s="27"/>
      <c r="J218" s="27"/>
      <c r="K218" s="27"/>
      <c r="L218" s="27"/>
      <c r="M218" s="21"/>
      <c r="N218" s="27"/>
      <c r="O218" s="27"/>
      <c r="P218" s="27"/>
      <c r="Q218" s="27"/>
      <c r="R218" s="27"/>
      <c r="S218" s="21"/>
      <c r="T218" s="28"/>
      <c r="U218" s="28"/>
      <c r="V218" s="28"/>
      <c r="W218" s="28"/>
      <c r="X218" s="28"/>
      <c r="Y218" s="19"/>
      <c r="Z218" s="18"/>
      <c r="AE218" s="19"/>
      <c r="AH218" s="24"/>
      <c r="AI218" s="30"/>
      <c r="AJ218" s="30"/>
      <c r="AK218" s="30"/>
      <c r="AL218" s="24"/>
      <c r="AM218" s="24"/>
    </row>
    <row r="219" ht="15.75" customHeight="1">
      <c r="B219" s="18"/>
      <c r="C219" s="18"/>
      <c r="D219" s="18"/>
      <c r="E219" s="18"/>
      <c r="F219" s="18"/>
      <c r="G219" s="19"/>
      <c r="H219" s="27"/>
      <c r="I219" s="27"/>
      <c r="J219" s="27"/>
      <c r="K219" s="27"/>
      <c r="L219" s="27"/>
      <c r="M219" s="21"/>
      <c r="N219" s="27"/>
      <c r="O219" s="27"/>
      <c r="P219" s="27"/>
      <c r="Q219" s="27"/>
      <c r="R219" s="27"/>
      <c r="S219" s="21"/>
      <c r="T219" s="28"/>
      <c r="U219" s="28"/>
      <c r="V219" s="28"/>
      <c r="W219" s="28"/>
      <c r="X219" s="28"/>
      <c r="Y219" s="19"/>
      <c r="Z219" s="18"/>
      <c r="AE219" s="19"/>
      <c r="AH219" s="24"/>
      <c r="AI219" s="30"/>
      <c r="AJ219" s="30"/>
      <c r="AK219" s="30"/>
      <c r="AL219" s="24"/>
      <c r="AM219" s="24"/>
    </row>
    <row r="220" ht="15.75" customHeight="1">
      <c r="B220" s="18"/>
      <c r="C220" s="18"/>
      <c r="D220" s="18"/>
      <c r="E220" s="18"/>
      <c r="F220" s="18"/>
      <c r="G220" s="19"/>
      <c r="H220" s="27"/>
      <c r="I220" s="27"/>
      <c r="J220" s="27"/>
      <c r="K220" s="27"/>
      <c r="L220" s="27"/>
      <c r="M220" s="21"/>
      <c r="N220" s="27"/>
      <c r="O220" s="27"/>
      <c r="P220" s="27"/>
      <c r="Q220" s="27"/>
      <c r="R220" s="27"/>
      <c r="S220" s="21"/>
      <c r="T220" s="28"/>
      <c r="U220" s="28"/>
      <c r="V220" s="28"/>
      <c r="W220" s="28"/>
      <c r="X220" s="28"/>
      <c r="Y220" s="19"/>
      <c r="Z220" s="18"/>
      <c r="AE220" s="19"/>
      <c r="AH220" s="24"/>
      <c r="AI220" s="30"/>
      <c r="AJ220" s="30"/>
      <c r="AK220" s="30"/>
      <c r="AL220" s="24"/>
      <c r="AM220" s="24"/>
    </row>
    <row r="221" ht="15.75" customHeight="1">
      <c r="B221" s="18"/>
      <c r="C221" s="18"/>
      <c r="D221" s="18"/>
      <c r="E221" s="18"/>
      <c r="F221" s="18"/>
      <c r="G221" s="19"/>
      <c r="H221" s="27"/>
      <c r="I221" s="27"/>
      <c r="J221" s="27"/>
      <c r="K221" s="27"/>
      <c r="L221" s="27"/>
      <c r="M221" s="21"/>
      <c r="N221" s="27"/>
      <c r="O221" s="27"/>
      <c r="P221" s="27"/>
      <c r="Q221" s="27"/>
      <c r="R221" s="27"/>
      <c r="S221" s="21"/>
      <c r="T221" s="28"/>
      <c r="U221" s="28"/>
      <c r="V221" s="28"/>
      <c r="W221" s="28"/>
      <c r="X221" s="28"/>
      <c r="Y221" s="19"/>
      <c r="Z221" s="18"/>
      <c r="AE221" s="19"/>
      <c r="AH221" s="24"/>
      <c r="AI221" s="30"/>
      <c r="AJ221" s="30"/>
      <c r="AK221" s="30"/>
      <c r="AL221" s="24"/>
      <c r="AM221" s="24"/>
    </row>
    <row r="222" ht="15.75" customHeight="1">
      <c r="B222" s="18"/>
      <c r="C222" s="18"/>
      <c r="D222" s="18"/>
      <c r="E222" s="18"/>
      <c r="F222" s="18"/>
      <c r="G222" s="19"/>
      <c r="H222" s="27"/>
      <c r="I222" s="27"/>
      <c r="J222" s="27"/>
      <c r="K222" s="27"/>
      <c r="L222" s="27"/>
      <c r="M222" s="21"/>
      <c r="N222" s="27"/>
      <c r="O222" s="27"/>
      <c r="P222" s="27"/>
      <c r="Q222" s="27"/>
      <c r="R222" s="27"/>
      <c r="S222" s="21"/>
      <c r="T222" s="28"/>
      <c r="U222" s="28"/>
      <c r="V222" s="28"/>
      <c r="W222" s="28"/>
      <c r="X222" s="28"/>
      <c r="Y222" s="19"/>
      <c r="Z222" s="18"/>
      <c r="AE222" s="19"/>
      <c r="AH222" s="24"/>
      <c r="AI222" s="30"/>
      <c r="AJ222" s="30"/>
      <c r="AK222" s="30"/>
      <c r="AL222" s="24"/>
      <c r="AM222" s="24"/>
    </row>
    <row r="223" ht="15.75" customHeight="1">
      <c r="B223" s="18"/>
      <c r="C223" s="18"/>
      <c r="D223" s="18"/>
      <c r="E223" s="18"/>
      <c r="F223" s="18"/>
      <c r="G223" s="19"/>
      <c r="H223" s="27"/>
      <c r="I223" s="27"/>
      <c r="J223" s="27"/>
      <c r="K223" s="27"/>
      <c r="L223" s="27"/>
      <c r="M223" s="21"/>
      <c r="N223" s="27"/>
      <c r="O223" s="27"/>
      <c r="P223" s="27"/>
      <c r="Q223" s="27"/>
      <c r="R223" s="27"/>
      <c r="S223" s="21"/>
      <c r="T223" s="28"/>
      <c r="U223" s="28"/>
      <c r="V223" s="28"/>
      <c r="W223" s="28"/>
      <c r="X223" s="28"/>
      <c r="Y223" s="19"/>
      <c r="Z223" s="18"/>
      <c r="AE223" s="19"/>
      <c r="AH223" s="24"/>
      <c r="AI223" s="30"/>
      <c r="AJ223" s="30"/>
      <c r="AK223" s="30"/>
      <c r="AL223" s="24"/>
      <c r="AM223" s="24"/>
    </row>
    <row r="224" ht="15.75" customHeight="1">
      <c r="B224" s="18"/>
      <c r="C224" s="18"/>
      <c r="D224" s="18"/>
      <c r="E224" s="18"/>
      <c r="F224" s="18"/>
      <c r="G224" s="19"/>
      <c r="H224" s="27"/>
      <c r="I224" s="27"/>
      <c r="J224" s="27"/>
      <c r="K224" s="27"/>
      <c r="L224" s="27"/>
      <c r="M224" s="21"/>
      <c r="N224" s="27"/>
      <c r="O224" s="27"/>
      <c r="P224" s="27"/>
      <c r="Q224" s="27"/>
      <c r="R224" s="27"/>
      <c r="S224" s="21"/>
      <c r="T224" s="28"/>
      <c r="U224" s="28"/>
      <c r="V224" s="28"/>
      <c r="W224" s="28"/>
      <c r="X224" s="28"/>
      <c r="Y224" s="19"/>
      <c r="Z224" s="18"/>
      <c r="AE224" s="19"/>
      <c r="AH224" s="24"/>
      <c r="AI224" s="30"/>
      <c r="AJ224" s="30"/>
      <c r="AK224" s="30"/>
      <c r="AL224" s="24"/>
      <c r="AM224" s="24"/>
    </row>
    <row r="225" ht="15.75" customHeight="1">
      <c r="B225" s="18"/>
      <c r="C225" s="18"/>
      <c r="D225" s="18"/>
      <c r="E225" s="18"/>
      <c r="F225" s="18"/>
      <c r="G225" s="19"/>
      <c r="H225" s="27"/>
      <c r="I225" s="27"/>
      <c r="J225" s="27"/>
      <c r="K225" s="27"/>
      <c r="L225" s="27"/>
      <c r="M225" s="21"/>
      <c r="N225" s="27"/>
      <c r="O225" s="27"/>
      <c r="P225" s="27"/>
      <c r="Q225" s="27"/>
      <c r="R225" s="27"/>
      <c r="S225" s="21"/>
      <c r="T225" s="28"/>
      <c r="U225" s="28"/>
      <c r="V225" s="28"/>
      <c r="W225" s="28"/>
      <c r="X225" s="28"/>
      <c r="Y225" s="19"/>
      <c r="Z225" s="18"/>
      <c r="AE225" s="19"/>
      <c r="AH225" s="24"/>
      <c r="AI225" s="30"/>
      <c r="AJ225" s="30"/>
      <c r="AK225" s="30"/>
      <c r="AL225" s="24"/>
      <c r="AM225" s="24"/>
    </row>
    <row r="226" ht="15.75" customHeight="1">
      <c r="B226" s="18"/>
      <c r="C226" s="18"/>
      <c r="D226" s="18"/>
      <c r="E226" s="18"/>
      <c r="F226" s="18"/>
      <c r="G226" s="19"/>
      <c r="H226" s="27"/>
      <c r="I226" s="27"/>
      <c r="J226" s="27"/>
      <c r="K226" s="27"/>
      <c r="L226" s="27"/>
      <c r="M226" s="21"/>
      <c r="N226" s="27"/>
      <c r="O226" s="27"/>
      <c r="P226" s="27"/>
      <c r="Q226" s="27"/>
      <c r="R226" s="27"/>
      <c r="S226" s="21"/>
      <c r="T226" s="28"/>
      <c r="U226" s="28"/>
      <c r="V226" s="28"/>
      <c r="W226" s="28"/>
      <c r="X226" s="28"/>
      <c r="Y226" s="19"/>
      <c r="Z226" s="18"/>
      <c r="AE226" s="19"/>
      <c r="AH226" s="24"/>
      <c r="AI226" s="30"/>
      <c r="AJ226" s="30"/>
      <c r="AK226" s="30"/>
      <c r="AL226" s="24"/>
      <c r="AM226" s="24"/>
    </row>
    <row r="227" ht="15.75" customHeight="1">
      <c r="B227" s="18"/>
      <c r="C227" s="18"/>
      <c r="D227" s="18"/>
      <c r="E227" s="18"/>
      <c r="F227" s="18"/>
      <c r="G227" s="19"/>
      <c r="H227" s="27"/>
      <c r="I227" s="27"/>
      <c r="J227" s="27"/>
      <c r="K227" s="27"/>
      <c r="L227" s="27"/>
      <c r="M227" s="21"/>
      <c r="N227" s="27"/>
      <c r="O227" s="27"/>
      <c r="P227" s="27"/>
      <c r="Q227" s="27"/>
      <c r="R227" s="27"/>
      <c r="S227" s="21"/>
      <c r="T227" s="28"/>
      <c r="U227" s="28"/>
      <c r="V227" s="28"/>
      <c r="W227" s="28"/>
      <c r="X227" s="28"/>
      <c r="Y227" s="19"/>
      <c r="Z227" s="18"/>
      <c r="AE227" s="19"/>
      <c r="AH227" s="24"/>
      <c r="AI227" s="30"/>
      <c r="AJ227" s="30"/>
      <c r="AK227" s="30"/>
      <c r="AL227" s="24"/>
      <c r="AM227" s="24"/>
    </row>
    <row r="228" ht="15.75" customHeight="1">
      <c r="B228" s="18"/>
      <c r="C228" s="18"/>
      <c r="D228" s="18"/>
      <c r="E228" s="18"/>
      <c r="F228" s="18"/>
      <c r="G228" s="19"/>
      <c r="H228" s="27"/>
      <c r="I228" s="27"/>
      <c r="J228" s="27"/>
      <c r="K228" s="27"/>
      <c r="L228" s="27"/>
      <c r="M228" s="21"/>
      <c r="N228" s="27"/>
      <c r="O228" s="27"/>
      <c r="P228" s="27"/>
      <c r="Q228" s="27"/>
      <c r="R228" s="27"/>
      <c r="S228" s="21"/>
      <c r="T228" s="28"/>
      <c r="U228" s="28"/>
      <c r="V228" s="28"/>
      <c r="W228" s="28"/>
      <c r="X228" s="28"/>
      <c r="Y228" s="19"/>
      <c r="Z228" s="18"/>
      <c r="AE228" s="19"/>
      <c r="AH228" s="24"/>
      <c r="AI228" s="30"/>
      <c r="AJ228" s="30"/>
      <c r="AK228" s="30"/>
      <c r="AL228" s="24"/>
      <c r="AM228" s="24"/>
    </row>
    <row r="229" ht="15.75" customHeight="1">
      <c r="B229" s="18"/>
      <c r="C229" s="18"/>
      <c r="D229" s="18"/>
      <c r="E229" s="18"/>
      <c r="F229" s="18"/>
      <c r="G229" s="19"/>
      <c r="H229" s="27"/>
      <c r="I229" s="27"/>
      <c r="J229" s="27"/>
      <c r="K229" s="27"/>
      <c r="L229" s="27"/>
      <c r="M229" s="21"/>
      <c r="N229" s="27"/>
      <c r="O229" s="27"/>
      <c r="P229" s="27"/>
      <c r="Q229" s="27"/>
      <c r="R229" s="27"/>
      <c r="S229" s="21"/>
      <c r="T229" s="28"/>
      <c r="U229" s="28"/>
      <c r="V229" s="28"/>
      <c r="W229" s="28"/>
      <c r="X229" s="28"/>
      <c r="Y229" s="19"/>
      <c r="Z229" s="18"/>
      <c r="AE229" s="19"/>
      <c r="AH229" s="24"/>
      <c r="AI229" s="30"/>
      <c r="AJ229" s="30"/>
      <c r="AK229" s="30"/>
      <c r="AL229" s="24"/>
      <c r="AM229" s="24"/>
    </row>
    <row r="230" ht="15.75" customHeight="1">
      <c r="B230" s="18"/>
      <c r="C230" s="18"/>
      <c r="D230" s="18"/>
      <c r="E230" s="18"/>
      <c r="F230" s="18"/>
      <c r="G230" s="19"/>
      <c r="H230" s="27"/>
      <c r="I230" s="27"/>
      <c r="J230" s="27"/>
      <c r="K230" s="27"/>
      <c r="L230" s="27"/>
      <c r="M230" s="21"/>
      <c r="N230" s="27"/>
      <c r="O230" s="27"/>
      <c r="P230" s="27"/>
      <c r="Q230" s="27"/>
      <c r="R230" s="27"/>
      <c r="S230" s="21"/>
      <c r="T230" s="28"/>
      <c r="U230" s="28"/>
      <c r="V230" s="28"/>
      <c r="W230" s="28"/>
      <c r="X230" s="28"/>
      <c r="Y230" s="19"/>
      <c r="Z230" s="18"/>
      <c r="AE230" s="19"/>
      <c r="AH230" s="24"/>
      <c r="AI230" s="30"/>
      <c r="AJ230" s="30"/>
      <c r="AK230" s="30"/>
      <c r="AL230" s="24"/>
      <c r="AM230" s="24"/>
    </row>
    <row r="231" ht="15.75" customHeight="1">
      <c r="B231" s="18"/>
      <c r="C231" s="18"/>
      <c r="D231" s="18"/>
      <c r="E231" s="18"/>
      <c r="F231" s="18"/>
      <c r="G231" s="19"/>
      <c r="H231" s="27"/>
      <c r="I231" s="27"/>
      <c r="J231" s="27"/>
      <c r="K231" s="27"/>
      <c r="L231" s="27"/>
      <c r="M231" s="21"/>
      <c r="N231" s="27"/>
      <c r="O231" s="27"/>
      <c r="P231" s="27"/>
      <c r="Q231" s="27"/>
      <c r="R231" s="27"/>
      <c r="S231" s="21"/>
      <c r="T231" s="28"/>
      <c r="U231" s="28"/>
      <c r="V231" s="28"/>
      <c r="W231" s="28"/>
      <c r="X231" s="28"/>
      <c r="Y231" s="19"/>
      <c r="Z231" s="18"/>
      <c r="AE231" s="19"/>
      <c r="AH231" s="24"/>
      <c r="AI231" s="30"/>
      <c r="AJ231" s="30"/>
      <c r="AK231" s="30"/>
      <c r="AL231" s="24"/>
      <c r="AM231" s="24"/>
    </row>
    <row r="232" ht="15.75" customHeight="1">
      <c r="B232" s="18"/>
      <c r="C232" s="18"/>
      <c r="D232" s="18"/>
      <c r="E232" s="18"/>
      <c r="F232" s="18"/>
      <c r="G232" s="19"/>
      <c r="H232" s="27"/>
      <c r="I232" s="27"/>
      <c r="J232" s="27"/>
      <c r="K232" s="27"/>
      <c r="L232" s="27"/>
      <c r="M232" s="21"/>
      <c r="N232" s="27"/>
      <c r="O232" s="27"/>
      <c r="P232" s="27"/>
      <c r="Q232" s="27"/>
      <c r="R232" s="27"/>
      <c r="S232" s="21"/>
      <c r="T232" s="28"/>
      <c r="U232" s="28"/>
      <c r="V232" s="28"/>
      <c r="W232" s="28"/>
      <c r="X232" s="28"/>
      <c r="Y232" s="19"/>
      <c r="Z232" s="18"/>
      <c r="AE232" s="19"/>
      <c r="AH232" s="24"/>
      <c r="AI232" s="30"/>
      <c r="AJ232" s="30"/>
      <c r="AK232" s="30"/>
      <c r="AL232" s="24"/>
      <c r="AM232" s="24"/>
    </row>
    <row r="233" ht="15.75" customHeight="1">
      <c r="B233" s="18"/>
      <c r="C233" s="18"/>
      <c r="D233" s="18"/>
      <c r="E233" s="18"/>
      <c r="F233" s="18"/>
      <c r="G233" s="19"/>
      <c r="H233" s="27"/>
      <c r="I233" s="27"/>
      <c r="J233" s="27"/>
      <c r="K233" s="27"/>
      <c r="L233" s="27"/>
      <c r="M233" s="21"/>
      <c r="N233" s="27"/>
      <c r="O233" s="27"/>
      <c r="P233" s="27"/>
      <c r="Q233" s="27"/>
      <c r="R233" s="27"/>
      <c r="S233" s="21"/>
      <c r="T233" s="28"/>
      <c r="U233" s="28"/>
      <c r="V233" s="28"/>
      <c r="W233" s="28"/>
      <c r="X233" s="28"/>
      <c r="Y233" s="19"/>
      <c r="Z233" s="18"/>
      <c r="AE233" s="19"/>
      <c r="AH233" s="24"/>
      <c r="AI233" s="30"/>
      <c r="AJ233" s="30"/>
      <c r="AK233" s="30"/>
      <c r="AL233" s="24"/>
      <c r="AM233" s="24"/>
    </row>
    <row r="234" ht="15.75" customHeight="1">
      <c r="B234" s="18"/>
      <c r="C234" s="18"/>
      <c r="D234" s="18"/>
      <c r="E234" s="18"/>
      <c r="F234" s="18"/>
      <c r="G234" s="19"/>
      <c r="H234" s="27"/>
      <c r="I234" s="27"/>
      <c r="J234" s="27"/>
      <c r="K234" s="27"/>
      <c r="L234" s="27"/>
      <c r="M234" s="21"/>
      <c r="N234" s="27"/>
      <c r="O234" s="27"/>
      <c r="P234" s="27"/>
      <c r="Q234" s="27"/>
      <c r="R234" s="27"/>
      <c r="S234" s="21"/>
      <c r="T234" s="28"/>
      <c r="U234" s="28"/>
      <c r="V234" s="28"/>
      <c r="W234" s="28"/>
      <c r="X234" s="28"/>
      <c r="Y234" s="19"/>
      <c r="Z234" s="18"/>
      <c r="AE234" s="19"/>
      <c r="AH234" s="24"/>
      <c r="AI234" s="30"/>
      <c r="AJ234" s="30"/>
      <c r="AK234" s="30"/>
      <c r="AL234" s="24"/>
      <c r="AM234" s="24"/>
    </row>
    <row r="235" ht="15.75" customHeight="1">
      <c r="B235" s="18"/>
      <c r="C235" s="18"/>
      <c r="D235" s="18"/>
      <c r="E235" s="18"/>
      <c r="F235" s="18"/>
      <c r="G235" s="19"/>
      <c r="H235" s="27"/>
      <c r="I235" s="27"/>
      <c r="J235" s="27"/>
      <c r="K235" s="27"/>
      <c r="L235" s="27"/>
      <c r="M235" s="21"/>
      <c r="N235" s="27"/>
      <c r="O235" s="27"/>
      <c r="P235" s="27"/>
      <c r="Q235" s="27"/>
      <c r="R235" s="27"/>
      <c r="S235" s="21"/>
      <c r="T235" s="28"/>
      <c r="U235" s="28"/>
      <c r="V235" s="28"/>
      <c r="W235" s="28"/>
      <c r="X235" s="28"/>
      <c r="Y235" s="19"/>
      <c r="Z235" s="18"/>
      <c r="AE235" s="19"/>
      <c r="AH235" s="24"/>
      <c r="AI235" s="30"/>
      <c r="AJ235" s="30"/>
      <c r="AK235" s="30"/>
      <c r="AL235" s="24"/>
      <c r="AM235" s="24"/>
    </row>
    <row r="236" ht="15.75" customHeight="1">
      <c r="B236" s="18"/>
      <c r="C236" s="18"/>
      <c r="D236" s="18"/>
      <c r="E236" s="18"/>
      <c r="F236" s="18"/>
      <c r="G236" s="19"/>
      <c r="H236" s="27"/>
      <c r="I236" s="27"/>
      <c r="J236" s="27"/>
      <c r="K236" s="27"/>
      <c r="L236" s="27"/>
      <c r="M236" s="21"/>
      <c r="N236" s="27"/>
      <c r="O236" s="27"/>
      <c r="P236" s="27"/>
      <c r="Q236" s="27"/>
      <c r="R236" s="27"/>
      <c r="S236" s="21"/>
      <c r="T236" s="28"/>
      <c r="U236" s="28"/>
      <c r="V236" s="28"/>
      <c r="W236" s="28"/>
      <c r="X236" s="28"/>
      <c r="Y236" s="19"/>
      <c r="Z236" s="18"/>
      <c r="AE236" s="19"/>
      <c r="AH236" s="24"/>
      <c r="AI236" s="30"/>
      <c r="AJ236" s="30"/>
      <c r="AK236" s="30"/>
      <c r="AL236" s="24"/>
      <c r="AM236" s="24"/>
    </row>
    <row r="237" ht="15.75" customHeight="1">
      <c r="B237" s="18"/>
      <c r="C237" s="18"/>
      <c r="D237" s="18"/>
      <c r="E237" s="18"/>
      <c r="F237" s="18"/>
      <c r="G237" s="19"/>
      <c r="H237" s="27"/>
      <c r="I237" s="27"/>
      <c r="J237" s="27"/>
      <c r="K237" s="27"/>
      <c r="L237" s="27"/>
      <c r="M237" s="21"/>
      <c r="N237" s="27"/>
      <c r="O237" s="27"/>
      <c r="P237" s="27"/>
      <c r="Q237" s="27"/>
      <c r="R237" s="27"/>
      <c r="S237" s="21"/>
      <c r="T237" s="28"/>
      <c r="U237" s="28"/>
      <c r="V237" s="28"/>
      <c r="W237" s="28"/>
      <c r="X237" s="28"/>
      <c r="Y237" s="19"/>
      <c r="Z237" s="18"/>
      <c r="AE237" s="19"/>
      <c r="AH237" s="24"/>
      <c r="AI237" s="30"/>
      <c r="AJ237" s="30"/>
      <c r="AK237" s="30"/>
      <c r="AL237" s="24"/>
      <c r="AM237" s="24"/>
    </row>
    <row r="238" ht="15.75" customHeight="1">
      <c r="B238" s="18"/>
      <c r="C238" s="18"/>
      <c r="D238" s="18"/>
      <c r="E238" s="18"/>
      <c r="F238" s="18"/>
      <c r="G238" s="19"/>
      <c r="H238" s="27"/>
      <c r="I238" s="27"/>
      <c r="J238" s="27"/>
      <c r="K238" s="27"/>
      <c r="L238" s="27"/>
      <c r="M238" s="21"/>
      <c r="N238" s="27"/>
      <c r="O238" s="27"/>
      <c r="P238" s="27"/>
      <c r="Q238" s="27"/>
      <c r="R238" s="27"/>
      <c r="S238" s="21"/>
      <c r="T238" s="28"/>
      <c r="U238" s="28"/>
      <c r="V238" s="28"/>
      <c r="W238" s="28"/>
      <c r="X238" s="28"/>
      <c r="Y238" s="19"/>
      <c r="Z238" s="18"/>
      <c r="AE238" s="19"/>
      <c r="AH238" s="24"/>
      <c r="AI238" s="30"/>
      <c r="AJ238" s="30"/>
      <c r="AK238" s="30"/>
      <c r="AL238" s="24"/>
      <c r="AM238" s="24"/>
    </row>
    <row r="239" ht="15.75" customHeight="1">
      <c r="B239" s="18"/>
      <c r="C239" s="18"/>
      <c r="D239" s="18"/>
      <c r="E239" s="18"/>
      <c r="F239" s="18"/>
      <c r="G239" s="19"/>
      <c r="H239" s="27"/>
      <c r="I239" s="27"/>
      <c r="J239" s="27"/>
      <c r="K239" s="27"/>
      <c r="L239" s="27"/>
      <c r="M239" s="21"/>
      <c r="N239" s="27"/>
      <c r="O239" s="27"/>
      <c r="P239" s="27"/>
      <c r="Q239" s="27"/>
      <c r="R239" s="27"/>
      <c r="S239" s="21"/>
      <c r="T239" s="28"/>
      <c r="U239" s="28"/>
      <c r="V239" s="28"/>
      <c r="W239" s="28"/>
      <c r="X239" s="28"/>
      <c r="Y239" s="19"/>
      <c r="Z239" s="18"/>
      <c r="AE239" s="19"/>
      <c r="AH239" s="24"/>
      <c r="AI239" s="30"/>
      <c r="AJ239" s="30"/>
      <c r="AK239" s="30"/>
      <c r="AL239" s="24"/>
      <c r="AM239" s="24"/>
    </row>
    <row r="240" ht="15.75" customHeight="1">
      <c r="B240" s="18"/>
      <c r="C240" s="18"/>
      <c r="D240" s="18"/>
      <c r="E240" s="18"/>
      <c r="F240" s="18"/>
      <c r="G240" s="19"/>
      <c r="H240" s="27"/>
      <c r="I240" s="27"/>
      <c r="J240" s="27"/>
      <c r="K240" s="27"/>
      <c r="L240" s="27"/>
      <c r="M240" s="21"/>
      <c r="N240" s="27"/>
      <c r="O240" s="27"/>
      <c r="P240" s="27"/>
      <c r="Q240" s="27"/>
      <c r="R240" s="27"/>
      <c r="S240" s="21"/>
      <c r="T240" s="28"/>
      <c r="U240" s="28"/>
      <c r="V240" s="28"/>
      <c r="W240" s="28"/>
      <c r="X240" s="28"/>
      <c r="Y240" s="19"/>
      <c r="Z240" s="18"/>
      <c r="AE240" s="19"/>
      <c r="AH240" s="24"/>
      <c r="AI240" s="30"/>
      <c r="AJ240" s="30"/>
      <c r="AK240" s="30"/>
      <c r="AL240" s="24"/>
      <c r="AM240" s="24"/>
    </row>
    <row r="241" ht="15.75" customHeight="1">
      <c r="B241" s="18"/>
      <c r="C241" s="18"/>
      <c r="D241" s="18"/>
      <c r="E241" s="18"/>
      <c r="F241" s="18"/>
      <c r="G241" s="19"/>
      <c r="H241" s="27"/>
      <c r="I241" s="27"/>
      <c r="J241" s="27"/>
      <c r="K241" s="27"/>
      <c r="L241" s="27"/>
      <c r="M241" s="21"/>
      <c r="N241" s="27"/>
      <c r="O241" s="27"/>
      <c r="P241" s="27"/>
      <c r="Q241" s="27"/>
      <c r="R241" s="27"/>
      <c r="S241" s="21"/>
      <c r="T241" s="28"/>
      <c r="U241" s="28"/>
      <c r="V241" s="28"/>
      <c r="W241" s="28"/>
      <c r="X241" s="28"/>
      <c r="Y241" s="19"/>
      <c r="Z241" s="18"/>
      <c r="AE241" s="19"/>
      <c r="AH241" s="24"/>
      <c r="AI241" s="30"/>
      <c r="AJ241" s="30"/>
      <c r="AK241" s="30"/>
      <c r="AL241" s="24"/>
      <c r="AM241" s="24"/>
    </row>
    <row r="242" ht="15.75" customHeight="1">
      <c r="B242" s="18"/>
      <c r="C242" s="18"/>
      <c r="D242" s="18"/>
      <c r="E242" s="18"/>
      <c r="F242" s="18"/>
      <c r="G242" s="19"/>
      <c r="H242" s="27"/>
      <c r="I242" s="27"/>
      <c r="J242" s="27"/>
      <c r="K242" s="27"/>
      <c r="L242" s="27"/>
      <c r="M242" s="21"/>
      <c r="N242" s="27"/>
      <c r="O242" s="27"/>
      <c r="P242" s="27"/>
      <c r="Q242" s="27"/>
      <c r="R242" s="27"/>
      <c r="S242" s="21"/>
      <c r="T242" s="28"/>
      <c r="U242" s="28"/>
      <c r="V242" s="28"/>
      <c r="W242" s="28"/>
      <c r="X242" s="28"/>
      <c r="Y242" s="19"/>
      <c r="Z242" s="18"/>
      <c r="AE242" s="19"/>
      <c r="AH242" s="24"/>
      <c r="AI242" s="30"/>
      <c r="AJ242" s="30"/>
      <c r="AK242" s="30"/>
      <c r="AL242" s="24"/>
      <c r="AM242" s="24"/>
    </row>
    <row r="243" ht="15.75" customHeight="1">
      <c r="B243" s="18"/>
      <c r="C243" s="18"/>
      <c r="D243" s="18"/>
      <c r="E243" s="18"/>
      <c r="F243" s="18"/>
      <c r="G243" s="19"/>
      <c r="H243" s="27"/>
      <c r="I243" s="27"/>
      <c r="J243" s="27"/>
      <c r="K243" s="27"/>
      <c r="L243" s="27"/>
      <c r="M243" s="21"/>
      <c r="N243" s="27"/>
      <c r="O243" s="27"/>
      <c r="P243" s="27"/>
      <c r="Q243" s="27"/>
      <c r="R243" s="27"/>
      <c r="S243" s="21"/>
      <c r="T243" s="28"/>
      <c r="U243" s="28"/>
      <c r="V243" s="28"/>
      <c r="W243" s="28"/>
      <c r="X243" s="28"/>
      <c r="Y243" s="19"/>
      <c r="Z243" s="18"/>
      <c r="AE243" s="19"/>
      <c r="AH243" s="24"/>
      <c r="AI243" s="30"/>
      <c r="AJ243" s="30"/>
      <c r="AK243" s="30"/>
      <c r="AL243" s="24"/>
      <c r="AM243" s="24"/>
    </row>
    <row r="244" ht="15.75" customHeight="1">
      <c r="B244" s="18"/>
      <c r="C244" s="18"/>
      <c r="D244" s="18"/>
      <c r="E244" s="18"/>
      <c r="F244" s="18"/>
      <c r="G244" s="19"/>
      <c r="H244" s="27"/>
      <c r="I244" s="27"/>
      <c r="J244" s="27"/>
      <c r="K244" s="27"/>
      <c r="L244" s="27"/>
      <c r="M244" s="21"/>
      <c r="N244" s="27"/>
      <c r="O244" s="27"/>
      <c r="P244" s="27"/>
      <c r="Q244" s="27"/>
      <c r="R244" s="27"/>
      <c r="S244" s="21"/>
      <c r="T244" s="28"/>
      <c r="U244" s="28"/>
      <c r="V244" s="28"/>
      <c r="W244" s="28"/>
      <c r="X244" s="28"/>
      <c r="Y244" s="19"/>
      <c r="Z244" s="18"/>
      <c r="AE244" s="19"/>
      <c r="AH244" s="24"/>
      <c r="AI244" s="30"/>
      <c r="AJ244" s="30"/>
      <c r="AK244" s="30"/>
      <c r="AL244" s="24"/>
      <c r="AM244" s="24"/>
    </row>
    <row r="245" ht="15.75" customHeight="1">
      <c r="B245" s="18"/>
      <c r="C245" s="18"/>
      <c r="D245" s="18"/>
      <c r="E245" s="18"/>
      <c r="F245" s="18"/>
      <c r="G245" s="19"/>
      <c r="H245" s="27"/>
      <c r="I245" s="27"/>
      <c r="J245" s="27"/>
      <c r="K245" s="27"/>
      <c r="L245" s="27"/>
      <c r="M245" s="21"/>
      <c r="N245" s="27"/>
      <c r="O245" s="27"/>
      <c r="P245" s="27"/>
      <c r="Q245" s="27"/>
      <c r="R245" s="27"/>
      <c r="S245" s="21"/>
      <c r="T245" s="28"/>
      <c r="U245" s="28"/>
      <c r="V245" s="28"/>
      <c r="W245" s="28"/>
      <c r="X245" s="28"/>
      <c r="Y245" s="19"/>
      <c r="Z245" s="18"/>
      <c r="AE245" s="19"/>
      <c r="AH245" s="24"/>
      <c r="AI245" s="30"/>
      <c r="AJ245" s="30"/>
      <c r="AK245" s="30"/>
      <c r="AL245" s="24"/>
      <c r="AM245" s="24"/>
    </row>
    <row r="246" ht="15.75" customHeight="1">
      <c r="B246" s="18"/>
      <c r="C246" s="18"/>
      <c r="D246" s="18"/>
      <c r="E246" s="18"/>
      <c r="F246" s="18"/>
      <c r="G246" s="19"/>
      <c r="H246" s="27"/>
      <c r="I246" s="27"/>
      <c r="J246" s="27"/>
      <c r="K246" s="27"/>
      <c r="L246" s="27"/>
      <c r="M246" s="21"/>
      <c r="N246" s="27"/>
      <c r="O246" s="27"/>
      <c r="P246" s="27"/>
      <c r="Q246" s="27"/>
      <c r="R246" s="27"/>
      <c r="S246" s="21"/>
      <c r="T246" s="28"/>
      <c r="U246" s="28"/>
      <c r="V246" s="28"/>
      <c r="W246" s="28"/>
      <c r="X246" s="28"/>
      <c r="Y246" s="19"/>
      <c r="Z246" s="18"/>
      <c r="AE246" s="19"/>
      <c r="AH246" s="24"/>
      <c r="AI246" s="30"/>
      <c r="AJ246" s="30"/>
      <c r="AK246" s="30"/>
      <c r="AL246" s="24"/>
      <c r="AM246" s="24"/>
    </row>
    <row r="247" ht="15.75" customHeight="1">
      <c r="B247" s="18"/>
      <c r="C247" s="18"/>
      <c r="D247" s="18"/>
      <c r="E247" s="18"/>
      <c r="F247" s="18"/>
      <c r="G247" s="19"/>
      <c r="H247" s="27"/>
      <c r="I247" s="27"/>
      <c r="J247" s="27"/>
      <c r="K247" s="27"/>
      <c r="L247" s="27"/>
      <c r="M247" s="21"/>
      <c r="N247" s="27"/>
      <c r="O247" s="27"/>
      <c r="P247" s="27"/>
      <c r="Q247" s="27"/>
      <c r="R247" s="27"/>
      <c r="S247" s="21"/>
      <c r="T247" s="28"/>
      <c r="U247" s="28"/>
      <c r="V247" s="28"/>
      <c r="W247" s="28"/>
      <c r="X247" s="28"/>
      <c r="Y247" s="19"/>
      <c r="Z247" s="18"/>
      <c r="AE247" s="19"/>
      <c r="AH247" s="24"/>
      <c r="AI247" s="30"/>
      <c r="AJ247" s="30"/>
      <c r="AK247" s="30"/>
      <c r="AL247" s="24"/>
      <c r="AM247" s="24"/>
    </row>
    <row r="248" ht="15.75" customHeight="1">
      <c r="B248" s="18"/>
      <c r="C248" s="18"/>
      <c r="D248" s="18"/>
      <c r="E248" s="18"/>
      <c r="F248" s="18"/>
      <c r="G248" s="19"/>
      <c r="H248" s="27"/>
      <c r="I248" s="27"/>
      <c r="J248" s="27"/>
      <c r="K248" s="27"/>
      <c r="L248" s="27"/>
      <c r="M248" s="21"/>
      <c r="N248" s="27"/>
      <c r="O248" s="27"/>
      <c r="P248" s="27"/>
      <c r="Q248" s="27"/>
      <c r="R248" s="27"/>
      <c r="S248" s="21"/>
      <c r="T248" s="28"/>
      <c r="U248" s="28"/>
      <c r="V248" s="28"/>
      <c r="W248" s="28"/>
      <c r="X248" s="28"/>
      <c r="Y248" s="19"/>
      <c r="Z248" s="18"/>
      <c r="AE248" s="19"/>
      <c r="AH248" s="24"/>
      <c r="AI248" s="30"/>
      <c r="AJ248" s="30"/>
      <c r="AK248" s="30"/>
      <c r="AL248" s="24"/>
      <c r="AM248" s="24"/>
    </row>
    <row r="249" ht="15.75" customHeight="1">
      <c r="B249" s="18"/>
      <c r="C249" s="18"/>
      <c r="D249" s="18"/>
      <c r="E249" s="18"/>
      <c r="F249" s="18"/>
      <c r="G249" s="19"/>
      <c r="H249" s="27"/>
      <c r="I249" s="27"/>
      <c r="J249" s="27"/>
      <c r="K249" s="27"/>
      <c r="L249" s="27"/>
      <c r="M249" s="21"/>
      <c r="N249" s="27"/>
      <c r="O249" s="27"/>
      <c r="P249" s="27"/>
      <c r="Q249" s="27"/>
      <c r="R249" s="27"/>
      <c r="S249" s="21"/>
      <c r="T249" s="28"/>
      <c r="U249" s="28"/>
      <c r="V249" s="28"/>
      <c r="W249" s="28"/>
      <c r="X249" s="28"/>
      <c r="Y249" s="19"/>
      <c r="Z249" s="18"/>
      <c r="AE249" s="19"/>
      <c r="AH249" s="24"/>
      <c r="AI249" s="30"/>
      <c r="AJ249" s="30"/>
      <c r="AK249" s="30"/>
      <c r="AL249" s="24"/>
      <c r="AM249" s="24"/>
    </row>
    <row r="250" ht="15.75" customHeight="1">
      <c r="B250" s="18"/>
      <c r="C250" s="18"/>
      <c r="D250" s="18"/>
      <c r="E250" s="18"/>
      <c r="F250" s="18"/>
      <c r="G250" s="19"/>
      <c r="H250" s="27"/>
      <c r="I250" s="27"/>
      <c r="J250" s="27"/>
      <c r="K250" s="27"/>
      <c r="L250" s="27"/>
      <c r="M250" s="21"/>
      <c r="N250" s="27"/>
      <c r="O250" s="27"/>
      <c r="P250" s="27"/>
      <c r="Q250" s="27"/>
      <c r="R250" s="27"/>
      <c r="S250" s="21"/>
      <c r="T250" s="28"/>
      <c r="U250" s="28"/>
      <c r="V250" s="28"/>
      <c r="W250" s="28"/>
      <c r="X250" s="28"/>
      <c r="Y250" s="19"/>
      <c r="Z250" s="18"/>
      <c r="AE250" s="19"/>
      <c r="AH250" s="24"/>
      <c r="AI250" s="30"/>
      <c r="AJ250" s="30"/>
      <c r="AK250" s="30"/>
      <c r="AL250" s="24"/>
      <c r="AM250" s="24"/>
    </row>
    <row r="251" ht="15.75" customHeight="1">
      <c r="B251" s="18"/>
      <c r="C251" s="18"/>
      <c r="D251" s="18"/>
      <c r="E251" s="18"/>
      <c r="F251" s="18"/>
      <c r="G251" s="19"/>
      <c r="H251" s="27"/>
      <c r="I251" s="27"/>
      <c r="J251" s="27"/>
      <c r="K251" s="27"/>
      <c r="L251" s="27"/>
      <c r="M251" s="21"/>
      <c r="N251" s="27"/>
      <c r="O251" s="27"/>
      <c r="P251" s="27"/>
      <c r="Q251" s="27"/>
      <c r="R251" s="27"/>
      <c r="S251" s="21"/>
      <c r="T251" s="28"/>
      <c r="U251" s="28"/>
      <c r="V251" s="28"/>
      <c r="W251" s="28"/>
      <c r="X251" s="28"/>
      <c r="Y251" s="19"/>
      <c r="Z251" s="18"/>
      <c r="AE251" s="19"/>
      <c r="AH251" s="24"/>
      <c r="AI251" s="30"/>
      <c r="AJ251" s="30"/>
      <c r="AK251" s="30"/>
      <c r="AL251" s="24"/>
      <c r="AM251" s="24"/>
    </row>
    <row r="252" ht="15.75" customHeight="1">
      <c r="B252" s="18"/>
      <c r="C252" s="18"/>
      <c r="D252" s="18"/>
      <c r="E252" s="18"/>
      <c r="F252" s="18"/>
      <c r="G252" s="19"/>
      <c r="H252" s="27"/>
      <c r="I252" s="27"/>
      <c r="J252" s="27"/>
      <c r="K252" s="27"/>
      <c r="L252" s="27"/>
      <c r="M252" s="21"/>
      <c r="N252" s="27"/>
      <c r="O252" s="27"/>
      <c r="P252" s="27"/>
      <c r="Q252" s="27"/>
      <c r="R252" s="27"/>
      <c r="S252" s="21"/>
      <c r="T252" s="28"/>
      <c r="U252" s="28"/>
      <c r="V252" s="28"/>
      <c r="W252" s="28"/>
      <c r="X252" s="28"/>
      <c r="Y252" s="19"/>
      <c r="Z252" s="18"/>
      <c r="AE252" s="19"/>
      <c r="AH252" s="24"/>
      <c r="AI252" s="30"/>
      <c r="AJ252" s="30"/>
      <c r="AK252" s="30"/>
      <c r="AL252" s="24"/>
      <c r="AM252" s="24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39" width="18.13"/>
  </cols>
  <sheetData>
    <row r="1" ht="15.75" customHeight="1">
      <c r="A1" s="1" t="s">
        <v>0</v>
      </c>
      <c r="B1" s="3"/>
      <c r="C1" s="3"/>
      <c r="D1" s="3" t="s">
        <v>1</v>
      </c>
      <c r="E1" s="3"/>
      <c r="F1" s="3"/>
      <c r="G1" s="4"/>
      <c r="H1" s="5"/>
      <c r="I1" s="5"/>
      <c r="J1" s="5" t="s">
        <v>2</v>
      </c>
      <c r="K1" s="5"/>
      <c r="L1" s="5"/>
      <c r="M1" s="6"/>
      <c r="N1" s="5"/>
      <c r="O1" s="5"/>
      <c r="P1" s="5" t="s">
        <v>3</v>
      </c>
      <c r="Q1" s="5"/>
      <c r="R1" s="5"/>
      <c r="S1" s="6"/>
      <c r="T1" s="7"/>
      <c r="U1" s="7"/>
      <c r="V1" s="7"/>
      <c r="W1" s="32" t="s">
        <v>57</v>
      </c>
      <c r="X1" s="7"/>
      <c r="Y1" s="4"/>
      <c r="Z1" s="3"/>
      <c r="AA1" s="31"/>
      <c r="AB1" s="31" t="s">
        <v>5</v>
      </c>
      <c r="AC1" s="31"/>
      <c r="AD1" s="31"/>
      <c r="AE1" s="4"/>
      <c r="AF1" s="31"/>
      <c r="AG1" s="31"/>
      <c r="AH1" s="8"/>
      <c r="AI1" s="9"/>
      <c r="AJ1" s="9"/>
      <c r="AK1" s="9"/>
      <c r="AL1" s="8"/>
      <c r="AM1" s="8"/>
    </row>
    <row r="2" ht="15.75" customHeight="1">
      <c r="A2" s="10" t="s">
        <v>6</v>
      </c>
      <c r="B2" s="11" t="s">
        <v>32</v>
      </c>
      <c r="C2" s="11" t="s">
        <v>33</v>
      </c>
      <c r="D2" s="11" t="s">
        <v>34</v>
      </c>
      <c r="E2" s="11" t="s">
        <v>35</v>
      </c>
      <c r="F2" s="11" t="s">
        <v>36</v>
      </c>
      <c r="G2" s="4"/>
      <c r="H2" s="12" t="s">
        <v>37</v>
      </c>
      <c r="I2" s="12" t="s">
        <v>38</v>
      </c>
      <c r="J2" s="12" t="s">
        <v>39</v>
      </c>
      <c r="K2" s="12" t="s">
        <v>40</v>
      </c>
      <c r="L2" s="12" t="s">
        <v>41</v>
      </c>
      <c r="M2" s="6"/>
      <c r="N2" s="12" t="s">
        <v>42</v>
      </c>
      <c r="O2" s="12" t="s">
        <v>43</v>
      </c>
      <c r="P2" s="12" t="s">
        <v>44</v>
      </c>
      <c r="Q2" s="12" t="s">
        <v>45</v>
      </c>
      <c r="R2" s="12" t="s">
        <v>46</v>
      </c>
      <c r="S2" s="6"/>
      <c r="T2" s="12" t="s">
        <v>47</v>
      </c>
      <c r="U2" s="12" t="s">
        <v>48</v>
      </c>
      <c r="V2" s="12" t="s">
        <v>49</v>
      </c>
      <c r="W2" s="12" t="s">
        <v>50</v>
      </c>
      <c r="X2" s="12" t="s">
        <v>51</v>
      </c>
      <c r="Y2" s="4"/>
      <c r="Z2" s="11" t="s">
        <v>52</v>
      </c>
      <c r="AA2" s="13" t="s">
        <v>53</v>
      </c>
      <c r="AB2" s="13" t="s">
        <v>54</v>
      </c>
      <c r="AC2" s="13" t="s">
        <v>55</v>
      </c>
      <c r="AD2" s="13" t="s">
        <v>56</v>
      </c>
      <c r="AE2" s="4"/>
      <c r="AF2" s="10"/>
      <c r="AG2" s="10"/>
      <c r="AH2" s="14" t="s">
        <v>27</v>
      </c>
      <c r="AI2" s="15" t="s">
        <v>28</v>
      </c>
      <c r="AJ2" s="15" t="s">
        <v>29</v>
      </c>
      <c r="AK2" s="15" t="s">
        <v>30</v>
      </c>
      <c r="AL2" s="14" t="s">
        <v>31</v>
      </c>
      <c r="AM2" s="14" t="s">
        <v>5</v>
      </c>
    </row>
    <row r="3" ht="15.75" customHeight="1">
      <c r="A3" s="16">
        <v>35.0</v>
      </c>
      <c r="B3" s="18">
        <v>27.0</v>
      </c>
      <c r="C3" s="18">
        <v>20.4</v>
      </c>
      <c r="D3" s="18">
        <v>0.0</v>
      </c>
      <c r="E3" s="18">
        <v>0.0</v>
      </c>
      <c r="F3" s="18">
        <v>35.0</v>
      </c>
      <c r="G3" s="19"/>
      <c r="H3" s="27">
        <v>38.0</v>
      </c>
      <c r="I3" s="27">
        <v>30.0</v>
      </c>
      <c r="J3" s="27">
        <v>0.0</v>
      </c>
      <c r="K3" s="27">
        <v>0.0</v>
      </c>
      <c r="L3" s="27">
        <v>77.0</v>
      </c>
      <c r="M3" s="21"/>
      <c r="N3" s="27">
        <v>22.0</v>
      </c>
      <c r="O3" s="27">
        <v>15.0</v>
      </c>
      <c r="P3" s="27">
        <v>0.0</v>
      </c>
      <c r="Q3" s="27">
        <v>0.0</v>
      </c>
      <c r="R3" s="27">
        <v>39.0</v>
      </c>
      <c r="S3" s="21"/>
      <c r="T3" s="28">
        <f t="shared" ref="T3:X3" si="1">if(H3&gt;0, N3/H3,"No installs")</f>
        <v>0.5789473684</v>
      </c>
      <c r="U3" s="28">
        <f t="shared" si="1"/>
        <v>0.5</v>
      </c>
      <c r="V3" s="28" t="str">
        <f t="shared" si="1"/>
        <v>No installs</v>
      </c>
      <c r="W3" s="28" t="str">
        <f t="shared" si="1"/>
        <v>No installs</v>
      </c>
      <c r="X3" s="28">
        <f t="shared" si="1"/>
        <v>0.5064935065</v>
      </c>
      <c r="Y3" s="19"/>
      <c r="Z3" s="23">
        <f t="shared" ref="Z3:AD3" si="2">if(N3&gt;0,B3/N3,"No SignUps")</f>
        <v>1.227272727</v>
      </c>
      <c r="AA3" s="23">
        <f t="shared" si="2"/>
        <v>1.36</v>
      </c>
      <c r="AB3" s="23" t="str">
        <f t="shared" si="2"/>
        <v>No SignUps</v>
      </c>
      <c r="AC3" s="23" t="str">
        <f t="shared" si="2"/>
        <v>No SignUps</v>
      </c>
      <c r="AD3" s="23">
        <f t="shared" si="2"/>
        <v>0.8974358974</v>
      </c>
      <c r="AE3" s="19"/>
      <c r="AF3" s="16"/>
      <c r="AG3" s="16"/>
      <c r="AH3" s="24">
        <f t="shared" ref="AH3:AH23" si="5">SUM(B3:F3)</f>
        <v>82.4</v>
      </c>
      <c r="AI3" s="25">
        <f t="shared" ref="AI3:AI23" si="6">sum(H3:L3)</f>
        <v>145</v>
      </c>
      <c r="AJ3" s="25">
        <f t="shared" ref="AJ3:AJ23" si="7">sum(N3:R3)</f>
        <v>76</v>
      </c>
      <c r="AK3" s="26">
        <f t="shared" ref="AK3:AK23" si="8">AJ3/AI3</f>
        <v>0.524137931</v>
      </c>
      <c r="AL3" s="24">
        <f t="shared" ref="AL3:AL23" si="9">AH3/AI3</f>
        <v>0.5682758621</v>
      </c>
      <c r="AM3" s="24">
        <f t="shared" ref="AM3:AM23" si="10">AH3/AJ3</f>
        <v>1.084210526</v>
      </c>
    </row>
    <row r="4" ht="15.75" customHeight="1">
      <c r="A4" s="16">
        <v>36.0</v>
      </c>
      <c r="B4" s="18">
        <v>159.4</v>
      </c>
      <c r="C4" s="18">
        <v>156.2</v>
      </c>
      <c r="D4" s="18">
        <v>3.9619999999999997</v>
      </c>
      <c r="E4" s="18">
        <v>61.4</v>
      </c>
      <c r="F4" s="18">
        <v>31.4</v>
      </c>
      <c r="G4" s="19"/>
      <c r="H4" s="27">
        <v>249.0</v>
      </c>
      <c r="I4" s="27">
        <v>264.0</v>
      </c>
      <c r="J4" s="27">
        <v>4.0</v>
      </c>
      <c r="K4" s="27">
        <v>267.0</v>
      </c>
      <c r="L4" s="27">
        <v>113.0</v>
      </c>
      <c r="M4" s="21"/>
      <c r="N4" s="27">
        <f>157+34</f>
        <v>191</v>
      </c>
      <c r="O4" s="27">
        <f>3+1+114+19+25+5+1+1</f>
        <v>169</v>
      </c>
      <c r="P4" s="27">
        <v>2.0</v>
      </c>
      <c r="Q4" s="27">
        <f>118+8</f>
        <v>126</v>
      </c>
      <c r="R4" s="27">
        <v>60.0</v>
      </c>
      <c r="S4" s="21"/>
      <c r="T4" s="28">
        <f t="shared" ref="T4:X4" si="3">if(H4&gt;0, N4/H4,"No installs")</f>
        <v>0.7670682731</v>
      </c>
      <c r="U4" s="28">
        <f t="shared" si="3"/>
        <v>0.6401515152</v>
      </c>
      <c r="V4" s="28">
        <f t="shared" si="3"/>
        <v>0.5</v>
      </c>
      <c r="W4" s="28">
        <f t="shared" si="3"/>
        <v>0.4719101124</v>
      </c>
      <c r="X4" s="28">
        <f t="shared" si="3"/>
        <v>0.5309734513</v>
      </c>
      <c r="Y4" s="19"/>
      <c r="Z4" s="23">
        <f t="shared" ref="Z4:AD4" si="4">if(N4&gt;0,B4/N4,"No SignUps")</f>
        <v>0.8345549738</v>
      </c>
      <c r="AA4" s="23">
        <f t="shared" si="4"/>
        <v>0.924260355</v>
      </c>
      <c r="AB4" s="23">
        <f t="shared" si="4"/>
        <v>1.981</v>
      </c>
      <c r="AC4" s="23">
        <f t="shared" si="4"/>
        <v>0.4873015873</v>
      </c>
      <c r="AD4" s="23">
        <f t="shared" si="4"/>
        <v>0.5233333333</v>
      </c>
      <c r="AE4" s="19"/>
      <c r="AF4" s="16"/>
      <c r="AG4" s="16"/>
      <c r="AH4" s="24">
        <f t="shared" si="5"/>
        <v>412.362</v>
      </c>
      <c r="AI4" s="25">
        <f t="shared" si="6"/>
        <v>897</v>
      </c>
      <c r="AJ4" s="25">
        <f t="shared" si="7"/>
        <v>548</v>
      </c>
      <c r="AK4" s="26">
        <f t="shared" si="8"/>
        <v>0.6109253066</v>
      </c>
      <c r="AL4" s="24">
        <f t="shared" si="9"/>
        <v>0.4597123746</v>
      </c>
      <c r="AM4" s="24">
        <f t="shared" si="10"/>
        <v>0.7524854015</v>
      </c>
    </row>
    <row r="5" ht="15.75" customHeight="1">
      <c r="A5" s="16">
        <v>37.0</v>
      </c>
      <c r="B5" s="18">
        <v>179.0</v>
      </c>
      <c r="C5" s="18">
        <v>156.2</v>
      </c>
      <c r="D5" s="18">
        <v>6.4</v>
      </c>
      <c r="E5" s="18">
        <v>82.4</v>
      </c>
      <c r="F5" s="18">
        <v>33.4</v>
      </c>
      <c r="G5" s="19"/>
      <c r="H5" s="27">
        <v>221.0</v>
      </c>
      <c r="I5" s="27">
        <v>220.0</v>
      </c>
      <c r="J5" s="27">
        <v>10.0</v>
      </c>
      <c r="K5" s="27">
        <v>304.0</v>
      </c>
      <c r="L5" s="27">
        <v>94.0</v>
      </c>
      <c r="M5" s="21"/>
      <c r="N5" s="27">
        <v>158.0</v>
      </c>
      <c r="O5" s="27">
        <f>84+1+66</f>
        <v>151</v>
      </c>
      <c r="P5" s="27">
        <f>9</f>
        <v>9</v>
      </c>
      <c r="Q5" s="27">
        <f>1+33+1+1+115+2</f>
        <v>153</v>
      </c>
      <c r="R5" s="27">
        <f>28+12</f>
        <v>40</v>
      </c>
      <c r="S5" s="21"/>
      <c r="T5" s="28">
        <f t="shared" ref="T5:X5" si="11">if(H5&gt;0, N5/H5,"No installs")</f>
        <v>0.7149321267</v>
      </c>
      <c r="U5" s="28">
        <f t="shared" si="11"/>
        <v>0.6863636364</v>
      </c>
      <c r="V5" s="28">
        <f t="shared" si="11"/>
        <v>0.9</v>
      </c>
      <c r="W5" s="28">
        <f t="shared" si="11"/>
        <v>0.5032894737</v>
      </c>
      <c r="X5" s="28">
        <f t="shared" si="11"/>
        <v>0.4255319149</v>
      </c>
      <c r="Y5" s="19"/>
      <c r="Z5" s="23">
        <f t="shared" ref="Z5:AD5" si="12">if(N5&gt;0,B5/N5,"No SignUps")</f>
        <v>1.132911392</v>
      </c>
      <c r="AA5" s="23">
        <f t="shared" si="12"/>
        <v>1.034437086</v>
      </c>
      <c r="AB5" s="23">
        <f t="shared" si="12"/>
        <v>0.7111111111</v>
      </c>
      <c r="AC5" s="23">
        <f t="shared" si="12"/>
        <v>0.5385620915</v>
      </c>
      <c r="AD5" s="23">
        <f t="shared" si="12"/>
        <v>0.835</v>
      </c>
      <c r="AE5" s="19"/>
      <c r="AF5" s="16"/>
      <c r="AG5" s="16"/>
      <c r="AH5" s="24">
        <f t="shared" si="5"/>
        <v>457.4</v>
      </c>
      <c r="AI5" s="25">
        <f t="shared" si="6"/>
        <v>849</v>
      </c>
      <c r="AJ5" s="25">
        <f t="shared" si="7"/>
        <v>511</v>
      </c>
      <c r="AK5" s="26">
        <f t="shared" si="8"/>
        <v>0.6018845701</v>
      </c>
      <c r="AL5" s="24">
        <f t="shared" si="9"/>
        <v>0.5387514723</v>
      </c>
      <c r="AM5" s="24">
        <f t="shared" si="10"/>
        <v>0.8951076321</v>
      </c>
    </row>
    <row r="6" ht="15.75" customHeight="1">
      <c r="A6" s="16">
        <v>38.0</v>
      </c>
      <c r="B6" s="18">
        <v>91.8</v>
      </c>
      <c r="C6" s="18">
        <v>118.0</v>
      </c>
      <c r="D6" s="18">
        <v>9.2</v>
      </c>
      <c r="E6" s="18">
        <v>117.0</v>
      </c>
      <c r="F6" s="18">
        <v>34.2</v>
      </c>
      <c r="G6" s="19"/>
      <c r="H6" s="27">
        <v>126.0</v>
      </c>
      <c r="I6" s="27">
        <v>196.0</v>
      </c>
      <c r="J6" s="27">
        <v>12.0</v>
      </c>
      <c r="K6" s="27">
        <v>340.0</v>
      </c>
      <c r="L6" s="27">
        <v>70.0</v>
      </c>
      <c r="M6" s="21"/>
      <c r="N6" s="27">
        <v>106.0</v>
      </c>
      <c r="O6" s="27">
        <f>114+22</f>
        <v>136</v>
      </c>
      <c r="P6" s="27">
        <v>12.0</v>
      </c>
      <c r="Q6" s="27">
        <v>188.0</v>
      </c>
      <c r="R6" s="27">
        <v>36.0</v>
      </c>
      <c r="S6" s="21"/>
      <c r="T6" s="28">
        <f t="shared" ref="T6:X6" si="13">if(H6&gt;0, N6/H6,"No installs")</f>
        <v>0.8412698413</v>
      </c>
      <c r="U6" s="28">
        <f t="shared" si="13"/>
        <v>0.693877551</v>
      </c>
      <c r="V6" s="28">
        <f t="shared" si="13"/>
        <v>1</v>
      </c>
      <c r="W6" s="28">
        <f t="shared" si="13"/>
        <v>0.5529411765</v>
      </c>
      <c r="X6" s="28">
        <f t="shared" si="13"/>
        <v>0.5142857143</v>
      </c>
      <c r="Y6" s="19"/>
      <c r="Z6" s="23">
        <f t="shared" ref="Z6:AD6" si="14">if(N6&gt;0,B6/N6,"No SignUps")</f>
        <v>0.8660377358</v>
      </c>
      <c r="AA6" s="23">
        <f t="shared" si="14"/>
        <v>0.8676470588</v>
      </c>
      <c r="AB6" s="23">
        <f t="shared" si="14"/>
        <v>0.7666666667</v>
      </c>
      <c r="AC6" s="23">
        <f t="shared" si="14"/>
        <v>0.6223404255</v>
      </c>
      <c r="AD6" s="23">
        <f t="shared" si="14"/>
        <v>0.95</v>
      </c>
      <c r="AE6" s="19"/>
      <c r="AF6" s="16"/>
      <c r="AG6" s="16"/>
      <c r="AH6" s="24">
        <f t="shared" si="5"/>
        <v>370.2</v>
      </c>
      <c r="AI6" s="25">
        <f t="shared" si="6"/>
        <v>744</v>
      </c>
      <c r="AJ6" s="25">
        <f t="shared" si="7"/>
        <v>478</v>
      </c>
      <c r="AK6" s="26">
        <f t="shared" si="8"/>
        <v>0.6424731183</v>
      </c>
      <c r="AL6" s="24">
        <f t="shared" si="9"/>
        <v>0.4975806452</v>
      </c>
      <c r="AM6" s="24">
        <f t="shared" si="10"/>
        <v>0.7744769874</v>
      </c>
    </row>
    <row r="7" ht="15.75" customHeight="1">
      <c r="A7" s="16">
        <v>39.0</v>
      </c>
      <c r="B7" s="18">
        <v>76.6</v>
      </c>
      <c r="C7" s="18">
        <v>114.6</v>
      </c>
      <c r="D7" s="18">
        <v>7.0</v>
      </c>
      <c r="E7" s="18">
        <v>103.2</v>
      </c>
      <c r="F7" s="18">
        <v>36.8</v>
      </c>
      <c r="G7" s="19"/>
      <c r="H7" s="27">
        <v>96.0</v>
      </c>
      <c r="I7" s="27">
        <v>175.0</v>
      </c>
      <c r="J7" s="27">
        <v>9.0</v>
      </c>
      <c r="K7" s="27">
        <v>302.0</v>
      </c>
      <c r="L7" s="27">
        <v>103.0</v>
      </c>
      <c r="M7" s="21"/>
      <c r="N7" s="27">
        <v>76.0</v>
      </c>
      <c r="O7" s="27">
        <v>142.0</v>
      </c>
      <c r="P7" s="27">
        <v>6.0</v>
      </c>
      <c r="Q7" s="27">
        <v>136.0</v>
      </c>
      <c r="R7" s="27">
        <v>48.0</v>
      </c>
      <c r="S7" s="21"/>
      <c r="T7" s="28">
        <f t="shared" ref="T7:X7" si="15">if(H7&gt;0, N7/H7,"No installs")</f>
        <v>0.7916666667</v>
      </c>
      <c r="U7" s="28">
        <f t="shared" si="15"/>
        <v>0.8114285714</v>
      </c>
      <c r="V7" s="28">
        <f t="shared" si="15"/>
        <v>0.6666666667</v>
      </c>
      <c r="W7" s="28">
        <f t="shared" si="15"/>
        <v>0.4503311258</v>
      </c>
      <c r="X7" s="28">
        <f t="shared" si="15"/>
        <v>0.4660194175</v>
      </c>
      <c r="Y7" s="19"/>
      <c r="Z7" s="23">
        <f t="shared" ref="Z7:AD7" si="16">if(N7&gt;0,B7/N7,"No SignUps")</f>
        <v>1.007894737</v>
      </c>
      <c r="AA7" s="23">
        <f t="shared" si="16"/>
        <v>0.8070422535</v>
      </c>
      <c r="AB7" s="23">
        <f t="shared" si="16"/>
        <v>1.166666667</v>
      </c>
      <c r="AC7" s="23">
        <f t="shared" si="16"/>
        <v>0.7588235294</v>
      </c>
      <c r="AD7" s="23">
        <f t="shared" si="16"/>
        <v>0.7666666667</v>
      </c>
      <c r="AE7" s="19"/>
      <c r="AF7" s="16"/>
      <c r="AG7" s="16"/>
      <c r="AH7" s="24">
        <f t="shared" si="5"/>
        <v>338.2</v>
      </c>
      <c r="AI7" s="25">
        <f t="shared" si="6"/>
        <v>685</v>
      </c>
      <c r="AJ7" s="25">
        <f t="shared" si="7"/>
        <v>408</v>
      </c>
      <c r="AK7" s="26">
        <f t="shared" si="8"/>
        <v>0.595620438</v>
      </c>
      <c r="AL7" s="24">
        <f t="shared" si="9"/>
        <v>0.4937226277</v>
      </c>
      <c r="AM7" s="24">
        <f t="shared" si="10"/>
        <v>0.8289215686</v>
      </c>
    </row>
    <row r="8" ht="15.75" customHeight="1">
      <c r="A8" s="16">
        <v>40.0</v>
      </c>
      <c r="B8" s="18">
        <v>128.4</v>
      </c>
      <c r="C8" s="18">
        <v>145.8</v>
      </c>
      <c r="D8" s="18">
        <v>15.4</v>
      </c>
      <c r="E8" s="18">
        <v>124.8</v>
      </c>
      <c r="F8" s="18">
        <v>34.0</v>
      </c>
      <c r="G8" s="19"/>
      <c r="H8" s="27">
        <v>202.0</v>
      </c>
      <c r="I8" s="27">
        <v>219.0</v>
      </c>
      <c r="J8" s="27">
        <v>19.0</v>
      </c>
      <c r="K8" s="27">
        <v>366.0</v>
      </c>
      <c r="L8" s="27">
        <v>102.0</v>
      </c>
      <c r="M8" s="21"/>
      <c r="N8" s="27">
        <v>165.0</v>
      </c>
      <c r="O8" s="27">
        <v>172.0</v>
      </c>
      <c r="P8" s="27">
        <f>14</f>
        <v>14</v>
      </c>
      <c r="Q8" s="27">
        <f>200</f>
        <v>200</v>
      </c>
      <c r="R8" s="27">
        <v>45.0</v>
      </c>
      <c r="S8" s="21"/>
      <c r="T8" s="28">
        <f t="shared" ref="T8:X8" si="17">if(H8&gt;0, N8/H8,"No installs")</f>
        <v>0.8168316832</v>
      </c>
      <c r="U8" s="28">
        <f t="shared" si="17"/>
        <v>0.7853881279</v>
      </c>
      <c r="V8" s="28">
        <f t="shared" si="17"/>
        <v>0.7368421053</v>
      </c>
      <c r="W8" s="28">
        <f t="shared" si="17"/>
        <v>0.5464480874</v>
      </c>
      <c r="X8" s="28">
        <f t="shared" si="17"/>
        <v>0.4411764706</v>
      </c>
      <c r="Y8" s="19"/>
      <c r="Z8" s="23">
        <f t="shared" ref="Z8:AD8" si="18">if(N8&gt;0,B8/N8,"No SignUps")</f>
        <v>0.7781818182</v>
      </c>
      <c r="AA8" s="23">
        <f t="shared" si="18"/>
        <v>0.8476744186</v>
      </c>
      <c r="AB8" s="23">
        <f t="shared" si="18"/>
        <v>1.1</v>
      </c>
      <c r="AC8" s="23">
        <f t="shared" si="18"/>
        <v>0.624</v>
      </c>
      <c r="AD8" s="23">
        <f t="shared" si="18"/>
        <v>0.7555555556</v>
      </c>
      <c r="AE8" s="19"/>
      <c r="AF8" s="16"/>
      <c r="AG8" s="16"/>
      <c r="AH8" s="24">
        <f t="shared" si="5"/>
        <v>448.4</v>
      </c>
      <c r="AI8" s="25">
        <f t="shared" si="6"/>
        <v>908</v>
      </c>
      <c r="AJ8" s="25">
        <f t="shared" si="7"/>
        <v>596</v>
      </c>
      <c r="AK8" s="26">
        <f t="shared" si="8"/>
        <v>0.6563876652</v>
      </c>
      <c r="AL8" s="24">
        <f t="shared" si="9"/>
        <v>0.4938325991</v>
      </c>
      <c r="AM8" s="24">
        <f t="shared" si="10"/>
        <v>0.7523489933</v>
      </c>
    </row>
    <row r="9" ht="15.75" customHeight="1">
      <c r="A9" s="16">
        <v>41.0</v>
      </c>
      <c r="B9" s="18">
        <v>151.4</v>
      </c>
      <c r="C9" s="18">
        <v>137.8</v>
      </c>
      <c r="D9" s="18">
        <v>7.2</v>
      </c>
      <c r="E9" s="18">
        <v>141.2</v>
      </c>
      <c r="F9" s="18">
        <v>56.4</v>
      </c>
      <c r="G9" s="19"/>
      <c r="H9" s="27">
        <v>226.0</v>
      </c>
      <c r="I9" s="27">
        <v>214.0</v>
      </c>
      <c r="J9" s="27">
        <v>3.0</v>
      </c>
      <c r="K9" s="27">
        <v>415.0</v>
      </c>
      <c r="L9" s="27">
        <v>136.0</v>
      </c>
      <c r="M9" s="21"/>
      <c r="N9" s="27">
        <v>167.0</v>
      </c>
      <c r="O9" s="27">
        <v>182.0</v>
      </c>
      <c r="P9" s="27">
        <v>4.0</v>
      </c>
      <c r="Q9" s="27">
        <v>185.0</v>
      </c>
      <c r="R9" s="27">
        <v>80.0</v>
      </c>
      <c r="S9" s="21"/>
      <c r="T9" s="28">
        <f t="shared" ref="T9:X9" si="19">if(H9&gt;0, N9/H9,"No installs")</f>
        <v>0.7389380531</v>
      </c>
      <c r="U9" s="28">
        <f t="shared" si="19"/>
        <v>0.8504672897</v>
      </c>
      <c r="V9" s="28">
        <f t="shared" si="19"/>
        <v>1.333333333</v>
      </c>
      <c r="W9" s="28">
        <f t="shared" si="19"/>
        <v>0.4457831325</v>
      </c>
      <c r="X9" s="28">
        <f t="shared" si="19"/>
        <v>0.5882352941</v>
      </c>
      <c r="Y9" s="19"/>
      <c r="Z9" s="23">
        <f t="shared" ref="Z9:AD9" si="20">if(N9&gt;0,B9/N9,"No SignUps")</f>
        <v>0.9065868263</v>
      </c>
      <c r="AA9" s="23">
        <f t="shared" si="20"/>
        <v>0.7571428571</v>
      </c>
      <c r="AB9" s="23">
        <f t="shared" si="20"/>
        <v>1.8</v>
      </c>
      <c r="AC9" s="23">
        <f t="shared" si="20"/>
        <v>0.7632432432</v>
      </c>
      <c r="AD9" s="23">
        <f t="shared" si="20"/>
        <v>0.705</v>
      </c>
      <c r="AE9" s="19"/>
      <c r="AF9" s="16"/>
      <c r="AG9" s="16"/>
      <c r="AH9" s="24">
        <f t="shared" si="5"/>
        <v>494</v>
      </c>
      <c r="AI9" s="25">
        <f t="shared" si="6"/>
        <v>994</v>
      </c>
      <c r="AJ9" s="25">
        <f t="shared" si="7"/>
        <v>618</v>
      </c>
      <c r="AK9" s="26">
        <f t="shared" si="8"/>
        <v>0.6217303823</v>
      </c>
      <c r="AL9" s="24">
        <f t="shared" si="9"/>
        <v>0.4969818913</v>
      </c>
      <c r="AM9" s="24">
        <f t="shared" si="10"/>
        <v>0.7993527508</v>
      </c>
    </row>
    <row r="10" ht="15.75" customHeight="1">
      <c r="A10" s="16">
        <v>42.0</v>
      </c>
      <c r="B10" s="18">
        <v>145.4</v>
      </c>
      <c r="C10" s="18">
        <v>127.0</v>
      </c>
      <c r="D10" s="18">
        <v>79.6</v>
      </c>
      <c r="E10" s="18">
        <v>288.4</v>
      </c>
      <c r="F10" s="18">
        <v>50.4</v>
      </c>
      <c r="G10" s="19"/>
      <c r="H10" s="27">
        <v>211.0</v>
      </c>
      <c r="I10" s="27">
        <v>212.0</v>
      </c>
      <c r="J10" s="27">
        <v>160.0</v>
      </c>
      <c r="K10" s="27">
        <v>797.0</v>
      </c>
      <c r="L10" s="27">
        <v>126.0</v>
      </c>
      <c r="M10" s="21"/>
      <c r="N10" s="27">
        <v>139.0</v>
      </c>
      <c r="O10" s="27">
        <v>140.0</v>
      </c>
      <c r="P10" s="27">
        <v>81.0</v>
      </c>
      <c r="Q10" s="27">
        <v>330.0</v>
      </c>
      <c r="R10" s="27">
        <v>69.0</v>
      </c>
      <c r="S10" s="21"/>
      <c r="T10" s="28">
        <f t="shared" ref="T10:X10" si="21">if(H10&gt;0, N10/H10,"No installs")</f>
        <v>0.6587677725</v>
      </c>
      <c r="U10" s="28">
        <f t="shared" si="21"/>
        <v>0.6603773585</v>
      </c>
      <c r="V10" s="28">
        <f t="shared" si="21"/>
        <v>0.50625</v>
      </c>
      <c r="W10" s="28">
        <f t="shared" si="21"/>
        <v>0.4140526976</v>
      </c>
      <c r="X10" s="28">
        <f t="shared" si="21"/>
        <v>0.5476190476</v>
      </c>
      <c r="Y10" s="19"/>
      <c r="Z10" s="23">
        <f t="shared" ref="Z10:AD10" si="22">if(N10&gt;0,B10/N10,"No SignUps")</f>
        <v>1.046043165</v>
      </c>
      <c r="AA10" s="23">
        <f t="shared" si="22"/>
        <v>0.9071428571</v>
      </c>
      <c r="AB10" s="23">
        <f t="shared" si="22"/>
        <v>0.9827160494</v>
      </c>
      <c r="AC10" s="23">
        <f t="shared" si="22"/>
        <v>0.8739393939</v>
      </c>
      <c r="AD10" s="23">
        <f t="shared" si="22"/>
        <v>0.7304347826</v>
      </c>
      <c r="AE10" s="19"/>
      <c r="AF10" s="16"/>
      <c r="AG10" s="16"/>
      <c r="AH10" s="24">
        <f t="shared" si="5"/>
        <v>690.8</v>
      </c>
      <c r="AI10" s="25">
        <f t="shared" si="6"/>
        <v>1506</v>
      </c>
      <c r="AJ10" s="25">
        <f t="shared" si="7"/>
        <v>759</v>
      </c>
      <c r="AK10" s="26">
        <f t="shared" si="8"/>
        <v>0.5039840637</v>
      </c>
      <c r="AL10" s="24">
        <f t="shared" si="9"/>
        <v>0.4586985392</v>
      </c>
      <c r="AM10" s="24">
        <f t="shared" si="10"/>
        <v>0.9101449275</v>
      </c>
    </row>
    <row r="11" ht="15.75" customHeight="1">
      <c r="A11" s="16">
        <v>43.0</v>
      </c>
      <c r="B11" s="18">
        <v>117.0</v>
      </c>
      <c r="C11" s="18">
        <v>136.6</v>
      </c>
      <c r="D11" s="18">
        <v>5.4</v>
      </c>
      <c r="E11" s="18">
        <v>314.2</v>
      </c>
      <c r="F11" s="18">
        <v>51.0</v>
      </c>
      <c r="G11" s="19"/>
      <c r="H11" s="27">
        <v>172.0</v>
      </c>
      <c r="I11" s="27">
        <v>215.0</v>
      </c>
      <c r="J11" s="27">
        <v>26.0</v>
      </c>
      <c r="K11" s="27">
        <v>945.0</v>
      </c>
      <c r="L11" s="27">
        <v>111.0</v>
      </c>
      <c r="M11" s="21"/>
      <c r="N11" s="27">
        <v>140.0</v>
      </c>
      <c r="O11" s="27">
        <v>137.0</v>
      </c>
      <c r="P11" s="27">
        <v>13.0</v>
      </c>
      <c r="Q11" s="27">
        <v>444.0</v>
      </c>
      <c r="R11" s="27">
        <v>65.0</v>
      </c>
      <c r="S11" s="21"/>
      <c r="T11" s="28">
        <f t="shared" ref="T11:X11" si="23">if(H11&gt;0, N11/H11,"No installs")</f>
        <v>0.8139534884</v>
      </c>
      <c r="U11" s="28">
        <f t="shared" si="23"/>
        <v>0.6372093023</v>
      </c>
      <c r="V11" s="28">
        <f t="shared" si="23"/>
        <v>0.5</v>
      </c>
      <c r="W11" s="28">
        <f t="shared" si="23"/>
        <v>0.4698412698</v>
      </c>
      <c r="X11" s="28">
        <f t="shared" si="23"/>
        <v>0.5855855856</v>
      </c>
      <c r="Y11" s="19"/>
      <c r="Z11" s="23">
        <f t="shared" ref="Z11:AD11" si="24">if(N11&gt;0,B11/N11,"No SignUps")</f>
        <v>0.8357142857</v>
      </c>
      <c r="AA11" s="23">
        <f t="shared" si="24"/>
        <v>0.997080292</v>
      </c>
      <c r="AB11" s="23">
        <f t="shared" si="24"/>
        <v>0.4153846154</v>
      </c>
      <c r="AC11" s="23">
        <f t="shared" si="24"/>
        <v>0.7076576577</v>
      </c>
      <c r="AD11" s="23">
        <f t="shared" si="24"/>
        <v>0.7846153846</v>
      </c>
      <c r="AE11" s="19"/>
      <c r="AF11" s="16"/>
      <c r="AG11" s="16"/>
      <c r="AH11" s="24">
        <f t="shared" si="5"/>
        <v>624.2</v>
      </c>
      <c r="AI11" s="25">
        <f t="shared" si="6"/>
        <v>1469</v>
      </c>
      <c r="AJ11" s="25">
        <f t="shared" si="7"/>
        <v>799</v>
      </c>
      <c r="AK11" s="26">
        <f t="shared" si="8"/>
        <v>0.54390742</v>
      </c>
      <c r="AL11" s="24">
        <f t="shared" si="9"/>
        <v>0.4249149081</v>
      </c>
      <c r="AM11" s="24">
        <f t="shared" si="10"/>
        <v>0.7812265332</v>
      </c>
    </row>
    <row r="12" ht="15.75" customHeight="1">
      <c r="A12" s="16">
        <v>44.0</v>
      </c>
      <c r="B12" s="18">
        <v>192.6</v>
      </c>
      <c r="C12" s="18">
        <v>161.4</v>
      </c>
      <c r="D12" s="18">
        <v>8.6</v>
      </c>
      <c r="E12" s="18">
        <v>287.0</v>
      </c>
      <c r="F12" s="18">
        <v>56.8</v>
      </c>
      <c r="G12" s="19"/>
      <c r="H12" s="27">
        <v>248.0</v>
      </c>
      <c r="I12" s="27">
        <v>271.0</v>
      </c>
      <c r="J12" s="27">
        <v>18.0</v>
      </c>
      <c r="K12" s="27">
        <v>788.0</v>
      </c>
      <c r="L12" s="27">
        <v>117.0</v>
      </c>
      <c r="M12" s="21"/>
      <c r="N12" s="27">
        <v>195.0</v>
      </c>
      <c r="O12" s="27">
        <v>174.0</v>
      </c>
      <c r="P12" s="27">
        <v>9.0</v>
      </c>
      <c r="Q12" s="27">
        <v>405.0</v>
      </c>
      <c r="R12" s="27">
        <v>66.0</v>
      </c>
      <c r="S12" s="21"/>
      <c r="T12" s="28">
        <f t="shared" ref="T12:X12" si="25">if(H12&gt;0, N12/H12,"No installs")</f>
        <v>0.7862903226</v>
      </c>
      <c r="U12" s="28">
        <f t="shared" si="25"/>
        <v>0.6420664207</v>
      </c>
      <c r="V12" s="28">
        <f t="shared" si="25"/>
        <v>0.5</v>
      </c>
      <c r="W12" s="28">
        <f t="shared" si="25"/>
        <v>0.5139593909</v>
      </c>
      <c r="X12" s="28">
        <f t="shared" si="25"/>
        <v>0.5641025641</v>
      </c>
      <c r="Y12" s="19"/>
      <c r="Z12" s="23">
        <f t="shared" ref="Z12:AD12" si="26">if(N12&gt;0,B12/N12,"No SignUps")</f>
        <v>0.9876923077</v>
      </c>
      <c r="AA12" s="23">
        <f t="shared" si="26"/>
        <v>0.9275862069</v>
      </c>
      <c r="AB12" s="23">
        <f t="shared" si="26"/>
        <v>0.9555555556</v>
      </c>
      <c r="AC12" s="23">
        <f t="shared" si="26"/>
        <v>0.7086419753</v>
      </c>
      <c r="AD12" s="23">
        <f t="shared" si="26"/>
        <v>0.8606060606</v>
      </c>
      <c r="AE12" s="19"/>
      <c r="AF12" s="16"/>
      <c r="AG12" s="16"/>
      <c r="AH12" s="24">
        <f t="shared" si="5"/>
        <v>706.4</v>
      </c>
      <c r="AI12" s="25">
        <f t="shared" si="6"/>
        <v>1442</v>
      </c>
      <c r="AJ12" s="25">
        <f t="shared" si="7"/>
        <v>849</v>
      </c>
      <c r="AK12" s="26">
        <f t="shared" si="8"/>
        <v>0.5887656033</v>
      </c>
      <c r="AL12" s="24">
        <f t="shared" si="9"/>
        <v>0.4898751734</v>
      </c>
      <c r="AM12" s="24">
        <f t="shared" si="10"/>
        <v>0.8320376914</v>
      </c>
    </row>
    <row r="13" ht="15.75" customHeight="1">
      <c r="A13" s="16">
        <v>45.0</v>
      </c>
      <c r="B13" s="18">
        <v>131.2</v>
      </c>
      <c r="C13" s="18">
        <v>136.8</v>
      </c>
      <c r="D13" s="18">
        <v>17.6</v>
      </c>
      <c r="E13" s="18">
        <v>463.6</v>
      </c>
      <c r="F13" s="18">
        <v>52.0</v>
      </c>
      <c r="G13" s="19"/>
      <c r="H13" s="27">
        <v>210.0</v>
      </c>
      <c r="I13" s="27">
        <v>266.0</v>
      </c>
      <c r="J13" s="27">
        <v>30.0</v>
      </c>
      <c r="K13" s="27">
        <v>1198.0</v>
      </c>
      <c r="L13" s="27">
        <v>104.0</v>
      </c>
      <c r="M13" s="21"/>
      <c r="N13" s="27">
        <v>172.0</v>
      </c>
      <c r="O13" s="27">
        <v>183.0</v>
      </c>
      <c r="P13" s="27">
        <v>0.0</v>
      </c>
      <c r="Q13" s="27">
        <v>521.0</v>
      </c>
      <c r="R13" s="27">
        <v>67.0</v>
      </c>
      <c r="S13" s="21"/>
      <c r="T13" s="28">
        <f t="shared" ref="T13:X13" si="27">if(H13&gt;0, N13/H13,"No installs")</f>
        <v>0.819047619</v>
      </c>
      <c r="U13" s="28">
        <f t="shared" si="27"/>
        <v>0.6879699248</v>
      </c>
      <c r="V13" s="28">
        <f t="shared" si="27"/>
        <v>0</v>
      </c>
      <c r="W13" s="28">
        <f t="shared" si="27"/>
        <v>0.4348914858</v>
      </c>
      <c r="X13" s="28">
        <f t="shared" si="27"/>
        <v>0.6442307692</v>
      </c>
      <c r="Y13" s="19"/>
      <c r="Z13" s="23">
        <f t="shared" ref="Z13:AD13" si="28">if(N13&gt;0,B13/N13,"No SignUps")</f>
        <v>0.7627906977</v>
      </c>
      <c r="AA13" s="23">
        <f t="shared" si="28"/>
        <v>0.7475409836</v>
      </c>
      <c r="AB13" s="23" t="str">
        <f t="shared" si="28"/>
        <v>No SignUps</v>
      </c>
      <c r="AC13" s="23">
        <f t="shared" si="28"/>
        <v>0.8898272553</v>
      </c>
      <c r="AD13" s="23">
        <f t="shared" si="28"/>
        <v>0.776119403</v>
      </c>
      <c r="AE13" s="19"/>
      <c r="AF13" s="16"/>
      <c r="AG13" s="16"/>
      <c r="AH13" s="24">
        <f t="shared" si="5"/>
        <v>801.2</v>
      </c>
      <c r="AI13" s="25">
        <f t="shared" si="6"/>
        <v>1808</v>
      </c>
      <c r="AJ13" s="25">
        <f t="shared" si="7"/>
        <v>943</v>
      </c>
      <c r="AK13" s="26">
        <f t="shared" si="8"/>
        <v>0.5215707965</v>
      </c>
      <c r="AL13" s="24">
        <f t="shared" si="9"/>
        <v>0.4431415929</v>
      </c>
      <c r="AM13" s="24">
        <f t="shared" si="10"/>
        <v>0.8496288441</v>
      </c>
    </row>
    <row r="14" ht="15.75" customHeight="1">
      <c r="A14" s="16">
        <v>46.0</v>
      </c>
      <c r="B14" s="18">
        <v>93.4</v>
      </c>
      <c r="C14" s="18">
        <v>94.2</v>
      </c>
      <c r="D14" s="18">
        <v>36.4</v>
      </c>
      <c r="E14" s="18">
        <v>265.8</v>
      </c>
      <c r="F14" s="18">
        <v>52.2</v>
      </c>
      <c r="G14" s="19"/>
      <c r="H14" s="27">
        <v>148.0</v>
      </c>
      <c r="I14" s="27">
        <v>151.0</v>
      </c>
      <c r="J14" s="27">
        <v>36.0</v>
      </c>
      <c r="K14" s="27">
        <v>774.0</v>
      </c>
      <c r="L14" s="27">
        <v>84.0</v>
      </c>
      <c r="M14" s="21"/>
      <c r="N14" s="27">
        <v>122.0</v>
      </c>
      <c r="O14" s="27">
        <v>105.0</v>
      </c>
      <c r="P14" s="27">
        <v>2.0</v>
      </c>
      <c r="Q14" s="27">
        <v>378.0</v>
      </c>
      <c r="R14" s="27">
        <v>44.0</v>
      </c>
      <c r="S14" s="21"/>
      <c r="T14" s="28">
        <f t="shared" ref="T14:X14" si="29">if(H14&gt;0, N14/H14,"No installs")</f>
        <v>0.8243243243</v>
      </c>
      <c r="U14" s="28">
        <f t="shared" si="29"/>
        <v>0.6953642384</v>
      </c>
      <c r="V14" s="28">
        <f t="shared" si="29"/>
        <v>0.05555555556</v>
      </c>
      <c r="W14" s="28">
        <f t="shared" si="29"/>
        <v>0.488372093</v>
      </c>
      <c r="X14" s="28">
        <f t="shared" si="29"/>
        <v>0.5238095238</v>
      </c>
      <c r="Y14" s="19"/>
      <c r="Z14" s="23">
        <f t="shared" ref="Z14:AD14" si="30">if(N14&gt;0,B14/N14,"No SignUps")</f>
        <v>0.7655737705</v>
      </c>
      <c r="AA14" s="23">
        <f t="shared" si="30"/>
        <v>0.8971428571</v>
      </c>
      <c r="AB14" s="23">
        <f t="shared" si="30"/>
        <v>18.2</v>
      </c>
      <c r="AC14" s="23">
        <f t="shared" si="30"/>
        <v>0.7031746032</v>
      </c>
      <c r="AD14" s="23">
        <f t="shared" si="30"/>
        <v>1.186363636</v>
      </c>
      <c r="AE14" s="19"/>
      <c r="AF14" s="16"/>
      <c r="AG14" s="16"/>
      <c r="AH14" s="24">
        <f t="shared" si="5"/>
        <v>542</v>
      </c>
      <c r="AI14" s="25">
        <f t="shared" si="6"/>
        <v>1193</v>
      </c>
      <c r="AJ14" s="25">
        <f t="shared" si="7"/>
        <v>651</v>
      </c>
      <c r="AK14" s="26">
        <f t="shared" si="8"/>
        <v>0.5456831517</v>
      </c>
      <c r="AL14" s="24">
        <f t="shared" si="9"/>
        <v>0.4543168483</v>
      </c>
      <c r="AM14" s="24">
        <f t="shared" si="10"/>
        <v>0.8325652842</v>
      </c>
    </row>
    <row r="15" ht="15.75" customHeight="1">
      <c r="A15" s="16">
        <v>47.0</v>
      </c>
      <c r="B15" s="18">
        <v>65.8</v>
      </c>
      <c r="C15" s="18">
        <v>57.4</v>
      </c>
      <c r="D15" s="18">
        <v>17.8</v>
      </c>
      <c r="E15" s="18">
        <v>161.6</v>
      </c>
      <c r="F15" s="18">
        <v>46.4</v>
      </c>
      <c r="G15" s="19"/>
      <c r="H15" s="27">
        <v>93.0</v>
      </c>
      <c r="I15" s="27">
        <v>97.0</v>
      </c>
      <c r="J15" s="27">
        <v>21.0</v>
      </c>
      <c r="K15" s="27">
        <v>459.0</v>
      </c>
      <c r="L15" s="27">
        <v>83.0</v>
      </c>
      <c r="M15" s="21"/>
      <c r="N15" s="27">
        <v>75.0</v>
      </c>
      <c r="O15" s="27">
        <v>49.0</v>
      </c>
      <c r="P15" s="27">
        <v>2.0</v>
      </c>
      <c r="Q15" s="27">
        <v>209.0</v>
      </c>
      <c r="R15" s="27">
        <v>47.0</v>
      </c>
      <c r="S15" s="21"/>
      <c r="T15" s="28">
        <f t="shared" ref="T15:X15" si="31">if(H15&gt;0, N15/H15,"No installs")</f>
        <v>0.8064516129</v>
      </c>
      <c r="U15" s="28">
        <f t="shared" si="31"/>
        <v>0.5051546392</v>
      </c>
      <c r="V15" s="28">
        <f t="shared" si="31"/>
        <v>0.09523809524</v>
      </c>
      <c r="W15" s="28">
        <f t="shared" si="31"/>
        <v>0.4553376906</v>
      </c>
      <c r="X15" s="28">
        <f t="shared" si="31"/>
        <v>0.5662650602</v>
      </c>
      <c r="Y15" s="19"/>
      <c r="Z15" s="23">
        <f t="shared" ref="Z15:AD15" si="32">if(N15&gt;0,B15/N15,"No SignUps")</f>
        <v>0.8773333333</v>
      </c>
      <c r="AA15" s="23">
        <f t="shared" si="32"/>
        <v>1.171428571</v>
      </c>
      <c r="AB15" s="23">
        <f t="shared" si="32"/>
        <v>8.9</v>
      </c>
      <c r="AC15" s="23">
        <f t="shared" si="32"/>
        <v>0.7732057416</v>
      </c>
      <c r="AD15" s="23">
        <f t="shared" si="32"/>
        <v>0.9872340426</v>
      </c>
      <c r="AE15" s="19"/>
      <c r="AF15" s="16"/>
      <c r="AG15" s="16"/>
      <c r="AH15" s="24">
        <f t="shared" si="5"/>
        <v>349</v>
      </c>
      <c r="AI15" s="25">
        <f t="shared" si="6"/>
        <v>753</v>
      </c>
      <c r="AJ15" s="25">
        <f t="shared" si="7"/>
        <v>382</v>
      </c>
      <c r="AK15" s="26">
        <f t="shared" si="8"/>
        <v>0.5073041169</v>
      </c>
      <c r="AL15" s="24">
        <f t="shared" si="9"/>
        <v>0.4634794157</v>
      </c>
      <c r="AM15" s="24">
        <f t="shared" si="10"/>
        <v>0.9136125654</v>
      </c>
    </row>
    <row r="16" ht="15.75" customHeight="1">
      <c r="A16" s="16">
        <v>48.0</v>
      </c>
      <c r="B16" s="18">
        <v>51.4</v>
      </c>
      <c r="C16" s="18">
        <v>74.0</v>
      </c>
      <c r="D16" s="18">
        <v>39.2</v>
      </c>
      <c r="E16" s="18">
        <v>249.2</v>
      </c>
      <c r="F16" s="18">
        <v>53.4</v>
      </c>
      <c r="G16" s="19"/>
      <c r="H16" s="27">
        <v>67.0</v>
      </c>
      <c r="I16" s="27">
        <v>111.0</v>
      </c>
      <c r="J16" s="27">
        <v>53.0</v>
      </c>
      <c r="K16" s="27">
        <v>617.0</v>
      </c>
      <c r="L16" s="27">
        <v>87.0</v>
      </c>
      <c r="M16" s="21"/>
      <c r="N16" s="27">
        <v>47.0</v>
      </c>
      <c r="O16" s="27">
        <v>64.0</v>
      </c>
      <c r="P16" s="27">
        <v>3.0</v>
      </c>
      <c r="Q16" s="27">
        <v>272.0</v>
      </c>
      <c r="R16" s="27">
        <v>54.0</v>
      </c>
      <c r="S16" s="21"/>
      <c r="T16" s="28">
        <f t="shared" ref="T16:X16" si="33">if(H16&gt;0, N16/H16,"No installs")</f>
        <v>0.7014925373</v>
      </c>
      <c r="U16" s="28">
        <f t="shared" si="33"/>
        <v>0.5765765766</v>
      </c>
      <c r="V16" s="28">
        <f t="shared" si="33"/>
        <v>0.05660377358</v>
      </c>
      <c r="W16" s="28">
        <f t="shared" si="33"/>
        <v>0.4408427877</v>
      </c>
      <c r="X16" s="28">
        <f t="shared" si="33"/>
        <v>0.6206896552</v>
      </c>
      <c r="Y16" s="19"/>
      <c r="Z16" s="23">
        <f t="shared" ref="Z16:AD16" si="34">if(N16&gt;0,B16/N16,"No SignUps")</f>
        <v>1.093617021</v>
      </c>
      <c r="AA16" s="23">
        <f t="shared" si="34"/>
        <v>1.15625</v>
      </c>
      <c r="AB16" s="23">
        <f t="shared" si="34"/>
        <v>13.06666667</v>
      </c>
      <c r="AC16" s="23">
        <f t="shared" si="34"/>
        <v>0.9161764706</v>
      </c>
      <c r="AD16" s="23">
        <f t="shared" si="34"/>
        <v>0.9888888889</v>
      </c>
      <c r="AE16" s="19"/>
      <c r="AF16" s="16"/>
      <c r="AG16" s="16"/>
      <c r="AH16" s="24">
        <f t="shared" si="5"/>
        <v>467.2</v>
      </c>
      <c r="AI16" s="25">
        <f t="shared" si="6"/>
        <v>935</v>
      </c>
      <c r="AJ16" s="25">
        <f t="shared" si="7"/>
        <v>440</v>
      </c>
      <c r="AK16" s="26">
        <f t="shared" si="8"/>
        <v>0.4705882353</v>
      </c>
      <c r="AL16" s="24">
        <f t="shared" si="9"/>
        <v>0.4996791444</v>
      </c>
      <c r="AM16" s="24">
        <f t="shared" si="10"/>
        <v>1.061818182</v>
      </c>
    </row>
    <row r="17" ht="15.75" customHeight="1">
      <c r="A17" s="16">
        <v>49.0</v>
      </c>
      <c r="B17" s="18">
        <v>72.4</v>
      </c>
      <c r="C17" s="18">
        <v>98.6</v>
      </c>
      <c r="D17" s="18">
        <v>139.2</v>
      </c>
      <c r="E17" s="18">
        <v>172.6</v>
      </c>
      <c r="F17" s="18">
        <v>54.8</v>
      </c>
      <c r="G17" s="19"/>
      <c r="H17" s="27">
        <v>101.0</v>
      </c>
      <c r="I17" s="27">
        <v>160.0</v>
      </c>
      <c r="J17" s="27">
        <v>258.0</v>
      </c>
      <c r="K17" s="27">
        <v>425.0</v>
      </c>
      <c r="L17" s="27">
        <v>237.0</v>
      </c>
      <c r="M17" s="21"/>
      <c r="N17" s="27">
        <v>66.0</v>
      </c>
      <c r="O17" s="27">
        <v>109.0</v>
      </c>
      <c r="P17" s="27">
        <v>128.0</v>
      </c>
      <c r="Q17" s="27">
        <v>187.0</v>
      </c>
      <c r="R17" s="27">
        <v>60.0</v>
      </c>
      <c r="S17" s="21"/>
      <c r="T17" s="28">
        <f t="shared" ref="T17:X17" si="35">if(H17&gt;0, N17/H17,"No installs")</f>
        <v>0.6534653465</v>
      </c>
      <c r="U17" s="28">
        <f t="shared" si="35"/>
        <v>0.68125</v>
      </c>
      <c r="V17" s="28">
        <f t="shared" si="35"/>
        <v>0.496124031</v>
      </c>
      <c r="W17" s="28">
        <f t="shared" si="35"/>
        <v>0.44</v>
      </c>
      <c r="X17" s="28">
        <f t="shared" si="35"/>
        <v>0.253164557</v>
      </c>
      <c r="Y17" s="19"/>
      <c r="Z17" s="23">
        <f t="shared" ref="Z17:AD17" si="36">if(N17&gt;0,B17/N17,"No SignUps")</f>
        <v>1.096969697</v>
      </c>
      <c r="AA17" s="23">
        <f t="shared" si="36"/>
        <v>0.904587156</v>
      </c>
      <c r="AB17" s="23">
        <f t="shared" si="36"/>
        <v>1.0875</v>
      </c>
      <c r="AC17" s="23">
        <f t="shared" si="36"/>
        <v>0.9229946524</v>
      </c>
      <c r="AD17" s="23">
        <f t="shared" si="36"/>
        <v>0.9133333333</v>
      </c>
      <c r="AE17" s="19"/>
      <c r="AF17" s="16"/>
      <c r="AG17" s="16"/>
      <c r="AH17" s="24">
        <f t="shared" si="5"/>
        <v>537.6</v>
      </c>
      <c r="AI17" s="25">
        <f t="shared" si="6"/>
        <v>1181</v>
      </c>
      <c r="AJ17" s="25">
        <f t="shared" si="7"/>
        <v>550</v>
      </c>
      <c r="AK17" s="26">
        <f t="shared" si="8"/>
        <v>0.4657070279</v>
      </c>
      <c r="AL17" s="24">
        <f t="shared" si="9"/>
        <v>0.4552074513</v>
      </c>
      <c r="AM17" s="24">
        <f t="shared" si="10"/>
        <v>0.9774545455</v>
      </c>
    </row>
    <row r="18" ht="15.75" customHeight="1">
      <c r="A18" s="16">
        <v>50.0</v>
      </c>
      <c r="B18" s="18">
        <v>57.6</v>
      </c>
      <c r="C18" s="18">
        <v>90.6</v>
      </c>
      <c r="D18" s="18">
        <v>660.8</v>
      </c>
      <c r="E18" s="18">
        <v>214.8</v>
      </c>
      <c r="F18" s="18">
        <v>58.6</v>
      </c>
      <c r="G18" s="19"/>
      <c r="H18" s="27">
        <v>116.0</v>
      </c>
      <c r="I18" s="27">
        <v>159.0</v>
      </c>
      <c r="J18" s="27">
        <v>784.0</v>
      </c>
      <c r="K18" s="27">
        <v>573.0</v>
      </c>
      <c r="L18" s="27">
        <v>133.0</v>
      </c>
      <c r="M18" s="21"/>
      <c r="N18" s="27">
        <v>86.0</v>
      </c>
      <c r="O18" s="27">
        <v>91.0</v>
      </c>
      <c r="P18" s="27">
        <v>519.0</v>
      </c>
      <c r="Q18" s="27">
        <v>240.0</v>
      </c>
      <c r="R18" s="27">
        <v>91.0</v>
      </c>
      <c r="S18" s="21"/>
      <c r="T18" s="28">
        <f t="shared" ref="T18:X18" si="37">if(H18&gt;0, N18/H18,"No installs")</f>
        <v>0.7413793103</v>
      </c>
      <c r="U18" s="28">
        <f t="shared" si="37"/>
        <v>0.572327044</v>
      </c>
      <c r="V18" s="28">
        <f t="shared" si="37"/>
        <v>0.6619897959</v>
      </c>
      <c r="W18" s="28">
        <f t="shared" si="37"/>
        <v>0.4188481675</v>
      </c>
      <c r="X18" s="28">
        <f t="shared" si="37"/>
        <v>0.6842105263</v>
      </c>
      <c r="Y18" s="19"/>
      <c r="Z18" s="23">
        <f t="shared" ref="Z18:AD18" si="38">if(N18&gt;0,B18/N18,"No SignUps")</f>
        <v>0.6697674419</v>
      </c>
      <c r="AA18" s="23">
        <f t="shared" si="38"/>
        <v>0.9956043956</v>
      </c>
      <c r="AB18" s="23">
        <f t="shared" si="38"/>
        <v>1.273217726</v>
      </c>
      <c r="AC18" s="23">
        <f t="shared" si="38"/>
        <v>0.895</v>
      </c>
      <c r="AD18" s="23">
        <f t="shared" si="38"/>
        <v>0.643956044</v>
      </c>
      <c r="AE18" s="19"/>
      <c r="AF18" s="16"/>
      <c r="AG18" s="16"/>
      <c r="AH18" s="24">
        <f t="shared" si="5"/>
        <v>1082.4</v>
      </c>
      <c r="AI18" s="25">
        <f t="shared" si="6"/>
        <v>1765</v>
      </c>
      <c r="AJ18" s="25">
        <f t="shared" si="7"/>
        <v>1027</v>
      </c>
      <c r="AK18" s="26">
        <f t="shared" si="8"/>
        <v>0.5818696884</v>
      </c>
      <c r="AL18" s="24">
        <f t="shared" si="9"/>
        <v>0.6132577904</v>
      </c>
      <c r="AM18" s="24">
        <f t="shared" si="10"/>
        <v>1.053943525</v>
      </c>
    </row>
    <row r="19" ht="15.75" customHeight="1">
      <c r="A19" s="16">
        <v>51.0</v>
      </c>
      <c r="B19" s="18">
        <v>151.6</v>
      </c>
      <c r="C19" s="18">
        <v>95.0</v>
      </c>
      <c r="D19" s="18">
        <v>94.0</v>
      </c>
      <c r="E19" s="18">
        <v>133.8</v>
      </c>
      <c r="F19" s="18">
        <v>62.4</v>
      </c>
      <c r="G19" s="19"/>
      <c r="H19" s="27">
        <v>205.0</v>
      </c>
      <c r="I19" s="27">
        <v>112.0</v>
      </c>
      <c r="J19" s="27">
        <v>61.0</v>
      </c>
      <c r="K19" s="27">
        <v>367.0</v>
      </c>
      <c r="L19" s="27">
        <v>91.0</v>
      </c>
      <c r="M19" s="21"/>
      <c r="N19" s="27">
        <v>148.0</v>
      </c>
      <c r="O19" s="27">
        <v>66.0</v>
      </c>
      <c r="P19" s="27">
        <v>43.0</v>
      </c>
      <c r="Q19" s="27">
        <v>173.0</v>
      </c>
      <c r="R19" s="27">
        <v>58.0</v>
      </c>
      <c r="S19" s="21"/>
      <c r="T19" s="28">
        <f t="shared" ref="T19:X19" si="39">if(H19&gt;0, N19/H19,"No installs")</f>
        <v>0.7219512195</v>
      </c>
      <c r="U19" s="28">
        <f t="shared" si="39"/>
        <v>0.5892857143</v>
      </c>
      <c r="V19" s="28">
        <f t="shared" si="39"/>
        <v>0.7049180328</v>
      </c>
      <c r="W19" s="28">
        <f t="shared" si="39"/>
        <v>0.4713896458</v>
      </c>
      <c r="X19" s="28">
        <f t="shared" si="39"/>
        <v>0.6373626374</v>
      </c>
      <c r="Y19" s="19"/>
      <c r="Z19" s="23">
        <f t="shared" ref="Z19:AD19" si="40">if(N19&gt;0,B19/N19,"No SignUps")</f>
        <v>1.024324324</v>
      </c>
      <c r="AA19" s="23">
        <f t="shared" si="40"/>
        <v>1.439393939</v>
      </c>
      <c r="AB19" s="23">
        <f t="shared" si="40"/>
        <v>2.186046512</v>
      </c>
      <c r="AC19" s="23">
        <f t="shared" si="40"/>
        <v>0.7734104046</v>
      </c>
      <c r="AD19" s="23">
        <f t="shared" si="40"/>
        <v>1.075862069</v>
      </c>
      <c r="AE19" s="19"/>
      <c r="AF19" s="16"/>
      <c r="AG19" s="16"/>
      <c r="AH19" s="24">
        <f t="shared" si="5"/>
        <v>536.8</v>
      </c>
      <c r="AI19" s="25">
        <f t="shared" si="6"/>
        <v>836</v>
      </c>
      <c r="AJ19" s="25">
        <f t="shared" si="7"/>
        <v>488</v>
      </c>
      <c r="AK19" s="26">
        <f t="shared" si="8"/>
        <v>0.5837320574</v>
      </c>
      <c r="AL19" s="24">
        <f t="shared" si="9"/>
        <v>0.6421052632</v>
      </c>
      <c r="AM19" s="24">
        <f t="shared" si="10"/>
        <v>1.1</v>
      </c>
    </row>
    <row r="20" ht="15.75" customHeight="1">
      <c r="A20" s="16">
        <v>52.0</v>
      </c>
      <c r="B20" s="18">
        <v>153.4</v>
      </c>
      <c r="C20" s="18">
        <v>123.4</v>
      </c>
      <c r="D20" s="18">
        <v>39.0</v>
      </c>
      <c r="E20" s="18">
        <v>313.6</v>
      </c>
      <c r="F20" s="18">
        <v>66.8</v>
      </c>
      <c r="G20" s="19"/>
      <c r="H20" s="27">
        <v>193.0</v>
      </c>
      <c r="I20" s="27">
        <v>192.0</v>
      </c>
      <c r="J20" s="27">
        <v>48.0</v>
      </c>
      <c r="K20" s="27">
        <v>822.0</v>
      </c>
      <c r="L20" s="27">
        <v>119.0</v>
      </c>
      <c r="M20" s="21"/>
      <c r="N20" s="27">
        <v>135.0</v>
      </c>
      <c r="O20" s="27">
        <v>99.0</v>
      </c>
      <c r="P20" s="27">
        <v>7.0</v>
      </c>
      <c r="Q20" s="27">
        <v>299.0</v>
      </c>
      <c r="R20" s="27">
        <v>76.0</v>
      </c>
      <c r="S20" s="21"/>
      <c r="T20" s="28">
        <f t="shared" ref="T20:X20" si="41">if(H20&gt;0, N20/H20,"No installs")</f>
        <v>0.6994818653</v>
      </c>
      <c r="U20" s="28">
        <f t="shared" si="41"/>
        <v>0.515625</v>
      </c>
      <c r="V20" s="28">
        <f t="shared" si="41"/>
        <v>0.1458333333</v>
      </c>
      <c r="W20" s="28">
        <f t="shared" si="41"/>
        <v>0.3637469586</v>
      </c>
      <c r="X20" s="28">
        <f t="shared" si="41"/>
        <v>0.6386554622</v>
      </c>
      <c r="Y20" s="19"/>
      <c r="Z20" s="23">
        <f t="shared" ref="Z20:AD20" si="42">if(N20&gt;0,B20/N20,"No SignUps")</f>
        <v>1.136296296</v>
      </c>
      <c r="AA20" s="23">
        <f t="shared" si="42"/>
        <v>1.246464646</v>
      </c>
      <c r="AB20" s="23">
        <f t="shared" si="42"/>
        <v>5.571428571</v>
      </c>
      <c r="AC20" s="23">
        <f t="shared" si="42"/>
        <v>1.048829431</v>
      </c>
      <c r="AD20" s="23">
        <f t="shared" si="42"/>
        <v>0.8789473684</v>
      </c>
      <c r="AE20" s="19"/>
      <c r="AF20" s="16"/>
      <c r="AG20" s="16"/>
      <c r="AH20" s="24">
        <f t="shared" si="5"/>
        <v>696.2</v>
      </c>
      <c r="AI20" s="25">
        <f t="shared" si="6"/>
        <v>1374</v>
      </c>
      <c r="AJ20" s="25">
        <f t="shared" si="7"/>
        <v>616</v>
      </c>
      <c r="AK20" s="26">
        <f t="shared" si="8"/>
        <v>0.4483260553</v>
      </c>
      <c r="AL20" s="24">
        <f t="shared" si="9"/>
        <v>0.5066957787</v>
      </c>
      <c r="AM20" s="24">
        <f t="shared" si="10"/>
        <v>1.130194805</v>
      </c>
    </row>
    <row r="21" ht="15.75" customHeight="1">
      <c r="A21" s="16">
        <v>1.0</v>
      </c>
      <c r="B21" s="18">
        <v>196.0</v>
      </c>
      <c r="C21" s="18">
        <v>172.0</v>
      </c>
      <c r="D21" s="18">
        <v>35.4</v>
      </c>
      <c r="E21" s="18">
        <v>445.6</v>
      </c>
      <c r="F21" s="18">
        <v>101.8</v>
      </c>
      <c r="G21" s="19"/>
      <c r="H21" s="27">
        <v>283.0</v>
      </c>
      <c r="I21" s="27">
        <v>252.0</v>
      </c>
      <c r="J21" s="27">
        <v>47.0</v>
      </c>
      <c r="K21" s="27">
        <v>1182.0</v>
      </c>
      <c r="L21" s="27">
        <v>174.0</v>
      </c>
      <c r="M21" s="21"/>
      <c r="N21" s="27">
        <v>152.0</v>
      </c>
      <c r="O21" s="27">
        <v>137.0</v>
      </c>
      <c r="P21" s="27">
        <v>6.0</v>
      </c>
      <c r="Q21" s="27">
        <v>349.0</v>
      </c>
      <c r="R21" s="27">
        <v>85.0</v>
      </c>
      <c r="S21" s="21"/>
      <c r="T21" s="28">
        <f t="shared" ref="T21:X21" si="43">if(H21&gt;0, N21/H21,"No installs")</f>
        <v>0.5371024735</v>
      </c>
      <c r="U21" s="28">
        <f t="shared" si="43"/>
        <v>0.5436507937</v>
      </c>
      <c r="V21" s="28">
        <f t="shared" si="43"/>
        <v>0.1276595745</v>
      </c>
      <c r="W21" s="28">
        <f t="shared" si="43"/>
        <v>0.2952622673</v>
      </c>
      <c r="X21" s="28">
        <f t="shared" si="43"/>
        <v>0.4885057471</v>
      </c>
      <c r="Y21" s="19"/>
      <c r="Z21" s="23">
        <f t="shared" ref="Z21:AD21" si="44">if(N21&gt;0,B21/N21,"No SignUps")</f>
        <v>1.289473684</v>
      </c>
      <c r="AA21" s="23">
        <f t="shared" si="44"/>
        <v>1.255474453</v>
      </c>
      <c r="AB21" s="23">
        <f t="shared" si="44"/>
        <v>5.9</v>
      </c>
      <c r="AC21" s="23">
        <f t="shared" si="44"/>
        <v>1.276790831</v>
      </c>
      <c r="AD21" s="23">
        <f t="shared" si="44"/>
        <v>1.197647059</v>
      </c>
      <c r="AE21" s="19"/>
      <c r="AF21" s="16"/>
      <c r="AG21" s="16"/>
      <c r="AH21" s="24">
        <f t="shared" si="5"/>
        <v>950.8</v>
      </c>
      <c r="AI21" s="25">
        <f t="shared" si="6"/>
        <v>1938</v>
      </c>
      <c r="AJ21" s="25">
        <f t="shared" si="7"/>
        <v>729</v>
      </c>
      <c r="AK21" s="26">
        <f t="shared" si="8"/>
        <v>0.3761609907</v>
      </c>
      <c r="AL21" s="24">
        <f t="shared" si="9"/>
        <v>0.4906088751</v>
      </c>
      <c r="AM21" s="24">
        <f t="shared" si="10"/>
        <v>1.304252401</v>
      </c>
    </row>
    <row r="22" ht="15.75" customHeight="1">
      <c r="A22" s="16">
        <v>2.0</v>
      </c>
      <c r="B22" s="18">
        <v>172.6</v>
      </c>
      <c r="C22" s="18">
        <v>189.0</v>
      </c>
      <c r="D22" s="18">
        <v>31.0</v>
      </c>
      <c r="E22" s="18">
        <v>296.8</v>
      </c>
      <c r="F22" s="18">
        <v>87.0</v>
      </c>
      <c r="G22" s="19"/>
      <c r="H22" s="27">
        <v>242.0</v>
      </c>
      <c r="I22" s="27">
        <v>257.0</v>
      </c>
      <c r="J22" s="27">
        <v>39.0</v>
      </c>
      <c r="K22" s="27">
        <v>921.0</v>
      </c>
      <c r="L22" s="27">
        <v>135.0</v>
      </c>
      <c r="M22" s="21"/>
      <c r="N22" s="27">
        <v>183.0</v>
      </c>
      <c r="O22" s="27">
        <v>147.0</v>
      </c>
      <c r="P22" s="27">
        <v>11.0</v>
      </c>
      <c r="Q22" s="27">
        <v>284.0</v>
      </c>
      <c r="R22" s="27">
        <v>67.0</v>
      </c>
      <c r="S22" s="21"/>
      <c r="T22" s="28">
        <f t="shared" ref="T22:X22" si="45">if(H22&gt;0, N22/H22,"No installs")</f>
        <v>0.7561983471</v>
      </c>
      <c r="U22" s="28">
        <f t="shared" si="45"/>
        <v>0.5719844358</v>
      </c>
      <c r="V22" s="28">
        <f t="shared" si="45"/>
        <v>0.2820512821</v>
      </c>
      <c r="W22" s="28">
        <f t="shared" si="45"/>
        <v>0.3083604777</v>
      </c>
      <c r="X22" s="28">
        <f t="shared" si="45"/>
        <v>0.4962962963</v>
      </c>
      <c r="Y22" s="19"/>
      <c r="Z22" s="23">
        <f t="shared" ref="Z22:AD22" si="46">if(N22&gt;0,B22/N22,"No SignUps")</f>
        <v>0.9431693989</v>
      </c>
      <c r="AA22" s="23">
        <f t="shared" si="46"/>
        <v>1.285714286</v>
      </c>
      <c r="AB22" s="23">
        <f t="shared" si="46"/>
        <v>2.818181818</v>
      </c>
      <c r="AC22" s="23">
        <f t="shared" si="46"/>
        <v>1.045070423</v>
      </c>
      <c r="AD22" s="23">
        <f t="shared" si="46"/>
        <v>1.298507463</v>
      </c>
      <c r="AE22" s="19"/>
      <c r="AF22" s="16"/>
      <c r="AG22" s="16"/>
      <c r="AH22" s="24">
        <f t="shared" si="5"/>
        <v>776.4</v>
      </c>
      <c r="AI22" s="25">
        <f t="shared" si="6"/>
        <v>1594</v>
      </c>
      <c r="AJ22" s="25">
        <f t="shared" si="7"/>
        <v>692</v>
      </c>
      <c r="AK22" s="26">
        <f t="shared" si="8"/>
        <v>0.4341279799</v>
      </c>
      <c r="AL22" s="24">
        <f t="shared" si="9"/>
        <v>0.487076537</v>
      </c>
      <c r="AM22" s="24">
        <f t="shared" si="10"/>
        <v>1.121965318</v>
      </c>
    </row>
    <row r="23" ht="15.75" customHeight="1">
      <c r="A23" s="16">
        <v>3.0</v>
      </c>
      <c r="B23" s="18">
        <v>188.0</v>
      </c>
      <c r="C23" s="18">
        <v>118.4</v>
      </c>
      <c r="D23" s="18">
        <v>35.6</v>
      </c>
      <c r="E23" s="18">
        <v>420.4</v>
      </c>
      <c r="F23" s="18">
        <v>71.6</v>
      </c>
      <c r="G23" s="19"/>
      <c r="H23" s="27">
        <v>241.0</v>
      </c>
      <c r="I23" s="27">
        <v>152.0</v>
      </c>
      <c r="J23" s="27">
        <v>45.0</v>
      </c>
      <c r="K23" s="27">
        <v>1294.0</v>
      </c>
      <c r="L23" s="27">
        <v>303.0</v>
      </c>
      <c r="M23" s="21"/>
      <c r="N23" s="27">
        <v>184.0</v>
      </c>
      <c r="O23" s="27">
        <v>101.0</v>
      </c>
      <c r="P23" s="27">
        <v>5.0</v>
      </c>
      <c r="Q23" s="27">
        <v>450.0</v>
      </c>
      <c r="R23" s="27">
        <v>66.0</v>
      </c>
      <c r="S23" s="21"/>
      <c r="T23" s="28">
        <f t="shared" ref="T23:X23" si="47">if(H23&gt;0, N23/H23,"No installs")</f>
        <v>0.7634854772</v>
      </c>
      <c r="U23" s="28">
        <f t="shared" si="47"/>
        <v>0.6644736842</v>
      </c>
      <c r="V23" s="28">
        <f t="shared" si="47"/>
        <v>0.1111111111</v>
      </c>
      <c r="W23" s="28">
        <f t="shared" si="47"/>
        <v>0.3477588872</v>
      </c>
      <c r="X23" s="28">
        <f t="shared" si="47"/>
        <v>0.2178217822</v>
      </c>
      <c r="Y23" s="19"/>
      <c r="Z23" s="23">
        <f t="shared" ref="Z23:AD23" si="48">if(N23&gt;0,B23/N23,"No SignUps")</f>
        <v>1.02173913</v>
      </c>
      <c r="AA23" s="23">
        <f t="shared" si="48"/>
        <v>1.172277228</v>
      </c>
      <c r="AB23" s="23">
        <f t="shared" si="48"/>
        <v>7.12</v>
      </c>
      <c r="AC23" s="23">
        <f t="shared" si="48"/>
        <v>0.9342222222</v>
      </c>
      <c r="AD23" s="23">
        <f t="shared" si="48"/>
        <v>1.084848485</v>
      </c>
      <c r="AE23" s="19"/>
      <c r="AF23" s="16"/>
      <c r="AG23" s="16"/>
      <c r="AH23" s="24">
        <f t="shared" si="5"/>
        <v>834</v>
      </c>
      <c r="AI23" s="25">
        <f t="shared" si="6"/>
        <v>2035</v>
      </c>
      <c r="AJ23" s="25">
        <f t="shared" si="7"/>
        <v>806</v>
      </c>
      <c r="AK23" s="26">
        <f t="shared" si="8"/>
        <v>0.3960687961</v>
      </c>
      <c r="AL23" s="24">
        <f t="shared" si="9"/>
        <v>0.4098280098</v>
      </c>
      <c r="AM23" s="24">
        <f t="shared" si="10"/>
        <v>1.034739454</v>
      </c>
    </row>
    <row r="24" ht="15.75" customHeight="1">
      <c r="A24" s="16">
        <v>4.0</v>
      </c>
      <c r="B24" s="18"/>
      <c r="C24" s="18"/>
      <c r="D24" s="18"/>
      <c r="E24" s="18"/>
      <c r="F24" s="18"/>
      <c r="G24" s="19"/>
      <c r="H24" s="27"/>
      <c r="I24" s="27"/>
      <c r="J24" s="27"/>
      <c r="K24" s="27"/>
      <c r="L24" s="27"/>
      <c r="M24" s="21"/>
      <c r="N24" s="27"/>
      <c r="O24" s="27"/>
      <c r="P24" s="27"/>
      <c r="Q24" s="27"/>
      <c r="R24" s="27"/>
      <c r="S24" s="21"/>
      <c r="T24" s="28"/>
      <c r="U24" s="28"/>
      <c r="V24" s="28"/>
      <c r="W24" s="28"/>
      <c r="X24" s="28"/>
      <c r="Y24" s="19"/>
      <c r="Z24" s="29"/>
      <c r="AA24" s="29"/>
      <c r="AB24" s="29"/>
      <c r="AC24" s="29"/>
      <c r="AD24" s="29"/>
      <c r="AE24" s="19"/>
      <c r="AF24" s="16"/>
      <c r="AG24" s="16"/>
      <c r="AH24" s="24"/>
      <c r="AI24" s="25"/>
      <c r="AJ24" s="25"/>
      <c r="AK24" s="26"/>
      <c r="AL24" s="24"/>
      <c r="AM24" s="24"/>
    </row>
    <row r="25" ht="15.75" customHeight="1">
      <c r="A25" s="16">
        <v>5.0</v>
      </c>
      <c r="B25" s="18"/>
      <c r="C25" s="18"/>
      <c r="D25" s="18"/>
      <c r="E25" s="18"/>
      <c r="F25" s="18"/>
      <c r="G25" s="19"/>
      <c r="H25" s="27"/>
      <c r="I25" s="27"/>
      <c r="J25" s="27"/>
      <c r="K25" s="27"/>
      <c r="L25" s="27"/>
      <c r="M25" s="21"/>
      <c r="N25" s="27"/>
      <c r="O25" s="27"/>
      <c r="P25" s="27"/>
      <c r="Q25" s="27"/>
      <c r="R25" s="27"/>
      <c r="S25" s="21"/>
      <c r="T25" s="28"/>
      <c r="U25" s="28"/>
      <c r="V25" s="28"/>
      <c r="W25" s="28"/>
      <c r="X25" s="28"/>
      <c r="Y25" s="19"/>
      <c r="Z25" s="29"/>
      <c r="AA25" s="29"/>
      <c r="AB25" s="29"/>
      <c r="AC25" s="29"/>
      <c r="AD25" s="29"/>
      <c r="AE25" s="19"/>
      <c r="AF25" s="16"/>
      <c r="AG25" s="16"/>
      <c r="AH25" s="24"/>
      <c r="AI25" s="25"/>
      <c r="AJ25" s="25"/>
      <c r="AK25" s="26"/>
      <c r="AL25" s="24"/>
      <c r="AM25" s="24"/>
    </row>
    <row r="26" ht="15.75" customHeight="1">
      <c r="A26" s="16">
        <v>6.0</v>
      </c>
      <c r="B26" s="18"/>
      <c r="C26" s="18"/>
      <c r="D26" s="18"/>
      <c r="E26" s="18"/>
      <c r="F26" s="18"/>
      <c r="G26" s="19"/>
      <c r="H26" s="27"/>
      <c r="I26" s="27"/>
      <c r="J26" s="27"/>
      <c r="K26" s="27"/>
      <c r="L26" s="27"/>
      <c r="M26" s="21"/>
      <c r="N26" s="27"/>
      <c r="O26" s="27"/>
      <c r="P26" s="27"/>
      <c r="Q26" s="27"/>
      <c r="R26" s="27"/>
      <c r="S26" s="21"/>
      <c r="T26" s="28"/>
      <c r="U26" s="28"/>
      <c r="V26" s="28"/>
      <c r="W26" s="28"/>
      <c r="X26" s="28"/>
      <c r="Y26" s="19"/>
      <c r="Z26" s="29"/>
      <c r="AA26" s="29"/>
      <c r="AB26" s="29"/>
      <c r="AC26" s="29"/>
      <c r="AD26" s="29"/>
      <c r="AE26" s="19"/>
      <c r="AF26" s="16"/>
      <c r="AG26" s="16"/>
      <c r="AH26" s="24"/>
      <c r="AI26" s="25"/>
      <c r="AJ26" s="25"/>
      <c r="AK26" s="26"/>
      <c r="AL26" s="24"/>
      <c r="AM26" s="24"/>
    </row>
    <row r="27" ht="15.75" customHeight="1">
      <c r="A27" s="16">
        <v>7.0</v>
      </c>
      <c r="B27" s="18"/>
      <c r="C27" s="18"/>
      <c r="D27" s="18"/>
      <c r="E27" s="18"/>
      <c r="F27" s="18"/>
      <c r="G27" s="19"/>
      <c r="H27" s="27"/>
      <c r="I27" s="27"/>
      <c r="J27" s="27"/>
      <c r="K27" s="27"/>
      <c r="L27" s="27"/>
      <c r="M27" s="21"/>
      <c r="N27" s="27"/>
      <c r="O27" s="27"/>
      <c r="P27" s="27"/>
      <c r="Q27" s="27"/>
      <c r="R27" s="27"/>
      <c r="S27" s="21"/>
      <c r="T27" s="28"/>
      <c r="U27" s="28"/>
      <c r="V27" s="28"/>
      <c r="W27" s="28"/>
      <c r="X27" s="28"/>
      <c r="Y27" s="19"/>
      <c r="Z27" s="29"/>
      <c r="AA27" s="29"/>
      <c r="AB27" s="29"/>
      <c r="AC27" s="29"/>
      <c r="AD27" s="29"/>
      <c r="AE27" s="19"/>
      <c r="AF27" s="16"/>
      <c r="AG27" s="16"/>
      <c r="AH27" s="24"/>
      <c r="AI27" s="25"/>
      <c r="AJ27" s="25"/>
      <c r="AK27" s="26"/>
      <c r="AL27" s="24"/>
      <c r="AM27" s="24"/>
    </row>
    <row r="28" ht="15.75" customHeight="1">
      <c r="A28" s="16">
        <v>8.0</v>
      </c>
      <c r="B28" s="18"/>
      <c r="C28" s="18"/>
      <c r="D28" s="18"/>
      <c r="E28" s="18"/>
      <c r="F28" s="18"/>
      <c r="G28" s="19"/>
      <c r="H28" s="27"/>
      <c r="I28" s="27"/>
      <c r="J28" s="27"/>
      <c r="K28" s="27"/>
      <c r="L28" s="27"/>
      <c r="M28" s="21"/>
      <c r="N28" s="27"/>
      <c r="O28" s="27"/>
      <c r="P28" s="27"/>
      <c r="Q28" s="27"/>
      <c r="R28" s="27"/>
      <c r="S28" s="21"/>
      <c r="T28" s="28"/>
      <c r="U28" s="28"/>
      <c r="V28" s="28"/>
      <c r="W28" s="28"/>
      <c r="X28" s="28"/>
      <c r="Y28" s="19"/>
      <c r="Z28" s="29"/>
      <c r="AA28" s="29"/>
      <c r="AB28" s="29"/>
      <c r="AC28" s="29"/>
      <c r="AD28" s="29"/>
      <c r="AE28" s="19"/>
      <c r="AF28" s="16"/>
      <c r="AG28" s="16"/>
      <c r="AH28" s="24"/>
      <c r="AI28" s="25"/>
      <c r="AJ28" s="25"/>
      <c r="AK28" s="26"/>
      <c r="AL28" s="24"/>
      <c r="AM28" s="24"/>
    </row>
    <row r="29" ht="15.75" customHeight="1">
      <c r="A29" s="16">
        <v>9.0</v>
      </c>
      <c r="B29" s="18"/>
      <c r="C29" s="18"/>
      <c r="D29" s="18"/>
      <c r="E29" s="18"/>
      <c r="F29" s="18"/>
      <c r="G29" s="19"/>
      <c r="H29" s="27"/>
      <c r="I29" s="27"/>
      <c r="J29" s="27"/>
      <c r="K29" s="27"/>
      <c r="L29" s="27"/>
      <c r="M29" s="21"/>
      <c r="N29" s="27"/>
      <c r="O29" s="27"/>
      <c r="P29" s="27"/>
      <c r="Q29" s="27"/>
      <c r="R29" s="27"/>
      <c r="S29" s="21"/>
      <c r="T29" s="28"/>
      <c r="U29" s="28"/>
      <c r="V29" s="28"/>
      <c r="W29" s="28"/>
      <c r="X29" s="28"/>
      <c r="Y29" s="19"/>
      <c r="Z29" s="29"/>
      <c r="AA29" s="29"/>
      <c r="AB29" s="29"/>
      <c r="AC29" s="29"/>
      <c r="AD29" s="29"/>
      <c r="AE29" s="19"/>
      <c r="AF29" s="16"/>
      <c r="AG29" s="16"/>
      <c r="AH29" s="24"/>
      <c r="AI29" s="25"/>
      <c r="AJ29" s="25"/>
      <c r="AK29" s="26"/>
      <c r="AL29" s="24"/>
      <c r="AM29" s="24"/>
    </row>
    <row r="30" ht="15.75" customHeight="1">
      <c r="A30" s="16">
        <v>10.0</v>
      </c>
      <c r="B30" s="18"/>
      <c r="C30" s="18"/>
      <c r="D30" s="18"/>
      <c r="E30" s="18"/>
      <c r="F30" s="18"/>
      <c r="G30" s="19"/>
      <c r="H30" s="27"/>
      <c r="I30" s="27"/>
      <c r="J30" s="27"/>
      <c r="K30" s="27"/>
      <c r="L30" s="27"/>
      <c r="M30" s="21"/>
      <c r="N30" s="27"/>
      <c r="O30" s="27"/>
      <c r="P30" s="27"/>
      <c r="Q30" s="27"/>
      <c r="R30" s="27"/>
      <c r="S30" s="21"/>
      <c r="T30" s="28"/>
      <c r="U30" s="28"/>
      <c r="V30" s="28"/>
      <c r="W30" s="28"/>
      <c r="X30" s="28"/>
      <c r="Y30" s="19"/>
      <c r="Z30" s="29"/>
      <c r="AA30" s="29"/>
      <c r="AB30" s="29"/>
      <c r="AC30" s="29"/>
      <c r="AD30" s="29"/>
      <c r="AE30" s="19"/>
      <c r="AF30" s="16"/>
      <c r="AG30" s="16"/>
      <c r="AH30" s="24"/>
      <c r="AI30" s="25"/>
      <c r="AJ30" s="25"/>
      <c r="AK30" s="26"/>
      <c r="AL30" s="24"/>
      <c r="AM30" s="24"/>
    </row>
    <row r="31" ht="15.75" customHeight="1">
      <c r="A31" s="16">
        <v>11.0</v>
      </c>
      <c r="B31" s="18"/>
      <c r="C31" s="18"/>
      <c r="D31" s="18"/>
      <c r="E31" s="18"/>
      <c r="F31" s="18"/>
      <c r="G31" s="19"/>
      <c r="H31" s="27"/>
      <c r="I31" s="27"/>
      <c r="J31" s="27"/>
      <c r="K31" s="27"/>
      <c r="L31" s="27"/>
      <c r="M31" s="21"/>
      <c r="N31" s="27"/>
      <c r="O31" s="27"/>
      <c r="P31" s="27"/>
      <c r="Q31" s="27"/>
      <c r="R31" s="27"/>
      <c r="S31" s="21"/>
      <c r="T31" s="28"/>
      <c r="U31" s="28"/>
      <c r="V31" s="28"/>
      <c r="W31" s="28"/>
      <c r="X31" s="28"/>
      <c r="Y31" s="19"/>
      <c r="Z31" s="29"/>
      <c r="AA31" s="29"/>
      <c r="AB31" s="29"/>
      <c r="AC31" s="29"/>
      <c r="AD31" s="29"/>
      <c r="AE31" s="19"/>
      <c r="AF31" s="16"/>
      <c r="AG31" s="16"/>
      <c r="AH31" s="24"/>
      <c r="AI31" s="25"/>
      <c r="AJ31" s="25"/>
      <c r="AK31" s="26"/>
      <c r="AL31" s="24"/>
      <c r="AM31" s="24"/>
    </row>
    <row r="32" ht="15.75" customHeight="1">
      <c r="A32" s="16">
        <v>12.0</v>
      </c>
      <c r="B32" s="18"/>
      <c r="C32" s="18"/>
      <c r="D32" s="18"/>
      <c r="E32" s="18"/>
      <c r="F32" s="18"/>
      <c r="G32" s="19"/>
      <c r="H32" s="27"/>
      <c r="I32" s="27"/>
      <c r="J32" s="27"/>
      <c r="K32" s="27"/>
      <c r="L32" s="27"/>
      <c r="M32" s="21"/>
      <c r="N32" s="27"/>
      <c r="O32" s="27"/>
      <c r="P32" s="27"/>
      <c r="Q32" s="27"/>
      <c r="R32" s="27"/>
      <c r="S32" s="21"/>
      <c r="T32" s="28"/>
      <c r="U32" s="28"/>
      <c r="V32" s="28"/>
      <c r="W32" s="28"/>
      <c r="X32" s="28"/>
      <c r="Y32" s="19"/>
      <c r="Z32" s="29"/>
      <c r="AA32" s="29"/>
      <c r="AB32" s="29"/>
      <c r="AC32" s="29"/>
      <c r="AD32" s="29"/>
      <c r="AE32" s="19"/>
      <c r="AF32" s="16"/>
      <c r="AG32" s="16"/>
      <c r="AH32" s="24"/>
      <c r="AI32" s="25"/>
      <c r="AJ32" s="25"/>
      <c r="AK32" s="26"/>
      <c r="AL32" s="24"/>
      <c r="AM32" s="24"/>
    </row>
    <row r="33" ht="15.75" customHeight="1">
      <c r="B33" s="18"/>
      <c r="C33" s="18"/>
      <c r="D33" s="18"/>
      <c r="E33" s="18"/>
      <c r="F33" s="18"/>
      <c r="G33" s="19"/>
      <c r="H33" s="27"/>
      <c r="I33" s="27"/>
      <c r="J33" s="27"/>
      <c r="K33" s="27"/>
      <c r="L33" s="27"/>
      <c r="M33" s="21"/>
      <c r="N33" s="27"/>
      <c r="O33" s="27"/>
      <c r="P33" s="27"/>
      <c r="Q33" s="27"/>
      <c r="R33" s="27"/>
      <c r="S33" s="21"/>
      <c r="T33" s="28"/>
      <c r="U33" s="28"/>
      <c r="V33" s="28"/>
      <c r="W33" s="28"/>
      <c r="X33" s="28"/>
      <c r="Y33" s="19"/>
      <c r="Z33" s="18"/>
      <c r="AE33" s="19"/>
      <c r="AH33" s="24"/>
      <c r="AI33" s="30"/>
      <c r="AJ33" s="30"/>
      <c r="AK33" s="30"/>
      <c r="AL33" s="24"/>
      <c r="AM33" s="24"/>
    </row>
    <row r="34" ht="15.75" customHeight="1">
      <c r="B34" s="18"/>
      <c r="C34" s="18"/>
      <c r="D34" s="18"/>
      <c r="E34" s="18"/>
      <c r="F34" s="18"/>
      <c r="G34" s="19"/>
      <c r="H34" s="27"/>
      <c r="I34" s="27"/>
      <c r="J34" s="27"/>
      <c r="K34" s="27"/>
      <c r="L34" s="27"/>
      <c r="M34" s="21"/>
      <c r="N34" s="27"/>
      <c r="O34" s="27"/>
      <c r="P34" s="27"/>
      <c r="Q34" s="27"/>
      <c r="R34" s="27"/>
      <c r="S34" s="21"/>
      <c r="T34" s="28"/>
      <c r="U34" s="28"/>
      <c r="V34" s="28"/>
      <c r="W34" s="28"/>
      <c r="X34" s="28"/>
      <c r="Y34" s="19"/>
      <c r="Z34" s="18"/>
      <c r="AE34" s="19"/>
      <c r="AH34" s="24"/>
      <c r="AI34" s="30"/>
      <c r="AJ34" s="30"/>
      <c r="AK34" s="30"/>
      <c r="AL34" s="24"/>
      <c r="AM34" s="24"/>
    </row>
    <row r="35" ht="15.75" customHeight="1">
      <c r="B35" s="18"/>
      <c r="C35" s="18"/>
      <c r="D35" s="18"/>
      <c r="E35" s="18"/>
      <c r="F35" s="18"/>
      <c r="G35" s="19"/>
      <c r="H35" s="27"/>
      <c r="I35" s="27"/>
      <c r="J35" s="27"/>
      <c r="K35" s="27"/>
      <c r="L35" s="27"/>
      <c r="M35" s="21"/>
      <c r="N35" s="27"/>
      <c r="O35" s="27"/>
      <c r="P35" s="27"/>
      <c r="Q35" s="27"/>
      <c r="R35" s="27"/>
      <c r="S35" s="21"/>
      <c r="T35" s="28"/>
      <c r="U35" s="28"/>
      <c r="V35" s="28"/>
      <c r="W35" s="28"/>
      <c r="X35" s="28"/>
      <c r="Y35" s="19"/>
      <c r="Z35" s="18"/>
      <c r="AE35" s="19"/>
      <c r="AH35" s="24"/>
      <c r="AI35" s="30"/>
      <c r="AJ35" s="30"/>
      <c r="AK35" s="30"/>
      <c r="AL35" s="24"/>
      <c r="AM35" s="24"/>
    </row>
    <row r="36" ht="15.75" customHeight="1">
      <c r="B36" s="18"/>
      <c r="C36" s="18"/>
      <c r="D36" s="18"/>
      <c r="E36" s="18"/>
      <c r="F36" s="18"/>
      <c r="G36" s="19"/>
      <c r="H36" s="27"/>
      <c r="I36" s="27"/>
      <c r="J36" s="27"/>
      <c r="K36" s="27"/>
      <c r="L36" s="27"/>
      <c r="M36" s="21"/>
      <c r="N36" s="27"/>
      <c r="O36" s="27"/>
      <c r="P36" s="27"/>
      <c r="Q36" s="27"/>
      <c r="R36" s="27"/>
      <c r="S36" s="21"/>
      <c r="T36" s="28"/>
      <c r="U36" s="28"/>
      <c r="V36" s="28"/>
      <c r="W36" s="28"/>
      <c r="X36" s="28"/>
      <c r="Y36" s="19"/>
      <c r="Z36" s="18"/>
      <c r="AE36" s="19"/>
      <c r="AH36" s="24"/>
      <c r="AI36" s="30"/>
      <c r="AJ36" s="30"/>
      <c r="AK36" s="30"/>
      <c r="AL36" s="24"/>
      <c r="AM36" s="24"/>
    </row>
    <row r="37" ht="15.75" customHeight="1">
      <c r="B37" s="18"/>
      <c r="C37" s="18"/>
      <c r="D37" s="18"/>
      <c r="E37" s="18"/>
      <c r="F37" s="18"/>
      <c r="G37" s="19"/>
      <c r="H37" s="27"/>
      <c r="I37" s="27"/>
      <c r="J37" s="27"/>
      <c r="K37" s="27"/>
      <c r="L37" s="27"/>
      <c r="M37" s="21"/>
      <c r="N37" s="27"/>
      <c r="O37" s="27"/>
      <c r="P37" s="27"/>
      <c r="Q37" s="27"/>
      <c r="R37" s="27"/>
      <c r="S37" s="21"/>
      <c r="T37" s="28"/>
      <c r="U37" s="28"/>
      <c r="V37" s="28"/>
      <c r="W37" s="28"/>
      <c r="X37" s="28"/>
      <c r="Y37" s="19"/>
      <c r="Z37" s="18"/>
      <c r="AE37" s="19"/>
      <c r="AH37" s="24"/>
      <c r="AI37" s="30"/>
      <c r="AJ37" s="30"/>
      <c r="AK37" s="30"/>
      <c r="AL37" s="24"/>
      <c r="AM37" s="24"/>
    </row>
    <row r="38" ht="15.75" customHeight="1">
      <c r="B38" s="18"/>
      <c r="C38" s="18"/>
      <c r="D38" s="18"/>
      <c r="E38" s="18"/>
      <c r="F38" s="18"/>
      <c r="G38" s="19"/>
      <c r="H38" s="27"/>
      <c r="I38" s="27"/>
      <c r="J38" s="27"/>
      <c r="K38" s="27"/>
      <c r="L38" s="27"/>
      <c r="M38" s="21"/>
      <c r="N38" s="27"/>
      <c r="O38" s="27"/>
      <c r="P38" s="27"/>
      <c r="Q38" s="27"/>
      <c r="R38" s="27"/>
      <c r="S38" s="21"/>
      <c r="T38" s="28"/>
      <c r="U38" s="28"/>
      <c r="V38" s="28"/>
      <c r="W38" s="28"/>
      <c r="X38" s="28"/>
      <c r="Y38" s="19"/>
      <c r="Z38" s="18"/>
      <c r="AE38" s="19"/>
      <c r="AH38" s="24"/>
      <c r="AI38" s="30"/>
      <c r="AJ38" s="30"/>
      <c r="AK38" s="30"/>
      <c r="AL38" s="24"/>
      <c r="AM38" s="24"/>
    </row>
    <row r="39" ht="15.75" customHeight="1">
      <c r="B39" s="18"/>
      <c r="C39" s="18"/>
      <c r="D39" s="18"/>
      <c r="E39" s="18"/>
      <c r="F39" s="18"/>
      <c r="G39" s="19"/>
      <c r="H39" s="27"/>
      <c r="I39" s="27"/>
      <c r="J39" s="27"/>
      <c r="K39" s="27"/>
      <c r="L39" s="27"/>
      <c r="M39" s="21"/>
      <c r="N39" s="27"/>
      <c r="O39" s="27"/>
      <c r="P39" s="27"/>
      <c r="Q39" s="27"/>
      <c r="R39" s="27"/>
      <c r="S39" s="21"/>
      <c r="T39" s="28"/>
      <c r="U39" s="28"/>
      <c r="V39" s="28"/>
      <c r="W39" s="28"/>
      <c r="X39" s="28"/>
      <c r="Y39" s="19"/>
      <c r="Z39" s="18"/>
      <c r="AE39" s="19"/>
      <c r="AH39" s="24"/>
      <c r="AI39" s="30"/>
      <c r="AJ39" s="30"/>
      <c r="AK39" s="30"/>
      <c r="AL39" s="24"/>
      <c r="AM39" s="24"/>
    </row>
    <row r="40" ht="15.75" customHeight="1">
      <c r="B40" s="18"/>
      <c r="C40" s="18"/>
      <c r="D40" s="18"/>
      <c r="E40" s="18"/>
      <c r="F40" s="18"/>
      <c r="G40" s="19"/>
      <c r="H40" s="27"/>
      <c r="I40" s="27"/>
      <c r="J40" s="27"/>
      <c r="K40" s="27"/>
      <c r="L40" s="27"/>
      <c r="M40" s="21"/>
      <c r="N40" s="27"/>
      <c r="O40" s="27"/>
      <c r="P40" s="27"/>
      <c r="Q40" s="27"/>
      <c r="R40" s="27"/>
      <c r="S40" s="21"/>
      <c r="T40" s="28"/>
      <c r="U40" s="28"/>
      <c r="V40" s="28"/>
      <c r="W40" s="28"/>
      <c r="X40" s="28"/>
      <c r="Y40" s="19"/>
      <c r="Z40" s="18"/>
      <c r="AE40" s="19"/>
      <c r="AH40" s="24"/>
      <c r="AI40" s="30"/>
      <c r="AJ40" s="30"/>
      <c r="AK40" s="30"/>
      <c r="AL40" s="24"/>
      <c r="AM40" s="24"/>
    </row>
    <row r="41" ht="15.75" customHeight="1">
      <c r="B41" s="18"/>
      <c r="C41" s="18"/>
      <c r="D41" s="18"/>
      <c r="E41" s="18"/>
      <c r="F41" s="18"/>
      <c r="G41" s="19"/>
      <c r="H41" s="27"/>
      <c r="I41" s="27"/>
      <c r="J41" s="27"/>
      <c r="K41" s="27"/>
      <c r="L41" s="27"/>
      <c r="M41" s="21"/>
      <c r="N41" s="27"/>
      <c r="O41" s="27"/>
      <c r="P41" s="27"/>
      <c r="Q41" s="27"/>
      <c r="R41" s="27"/>
      <c r="S41" s="21"/>
      <c r="T41" s="28"/>
      <c r="U41" s="28"/>
      <c r="V41" s="28"/>
      <c r="W41" s="28"/>
      <c r="X41" s="28"/>
      <c r="Y41" s="19"/>
      <c r="Z41" s="18"/>
      <c r="AE41" s="19"/>
      <c r="AH41" s="24"/>
      <c r="AI41" s="30"/>
      <c r="AJ41" s="30"/>
      <c r="AK41" s="30"/>
      <c r="AL41" s="24"/>
      <c r="AM41" s="24"/>
    </row>
    <row r="42" ht="15.75" customHeight="1">
      <c r="B42" s="18"/>
      <c r="C42" s="18"/>
      <c r="D42" s="18"/>
      <c r="E42" s="18"/>
      <c r="F42" s="18"/>
      <c r="G42" s="19"/>
      <c r="H42" s="27"/>
      <c r="I42" s="27"/>
      <c r="J42" s="27"/>
      <c r="K42" s="27"/>
      <c r="L42" s="27"/>
      <c r="M42" s="21"/>
      <c r="N42" s="27"/>
      <c r="O42" s="27"/>
      <c r="P42" s="27"/>
      <c r="Q42" s="27"/>
      <c r="R42" s="27"/>
      <c r="S42" s="21"/>
      <c r="T42" s="28"/>
      <c r="U42" s="28"/>
      <c r="V42" s="28"/>
      <c r="W42" s="28"/>
      <c r="X42" s="28"/>
      <c r="Y42" s="19"/>
      <c r="Z42" s="18"/>
      <c r="AE42" s="19"/>
      <c r="AH42" s="24"/>
      <c r="AI42" s="30"/>
      <c r="AJ42" s="30"/>
      <c r="AK42" s="30"/>
      <c r="AL42" s="24"/>
      <c r="AM42" s="24"/>
    </row>
    <row r="43" ht="15.75" customHeight="1">
      <c r="B43" s="18"/>
      <c r="C43" s="18"/>
      <c r="D43" s="18"/>
      <c r="E43" s="18"/>
      <c r="F43" s="18"/>
      <c r="G43" s="19"/>
      <c r="H43" s="27"/>
      <c r="I43" s="27"/>
      <c r="J43" s="27"/>
      <c r="K43" s="27"/>
      <c r="L43" s="27"/>
      <c r="M43" s="21"/>
      <c r="N43" s="27"/>
      <c r="O43" s="27"/>
      <c r="P43" s="27"/>
      <c r="Q43" s="27"/>
      <c r="R43" s="27"/>
      <c r="S43" s="21"/>
      <c r="T43" s="28"/>
      <c r="U43" s="28"/>
      <c r="V43" s="28"/>
      <c r="W43" s="28"/>
      <c r="X43" s="28"/>
      <c r="Y43" s="19"/>
      <c r="Z43" s="18"/>
      <c r="AE43" s="19"/>
      <c r="AH43" s="24"/>
      <c r="AI43" s="30"/>
      <c r="AJ43" s="30"/>
      <c r="AK43" s="30"/>
      <c r="AL43" s="24"/>
      <c r="AM43" s="24"/>
    </row>
    <row r="44" ht="15.75" customHeight="1">
      <c r="B44" s="18"/>
      <c r="C44" s="18"/>
      <c r="D44" s="18"/>
      <c r="E44" s="18"/>
      <c r="F44" s="18"/>
      <c r="G44" s="19"/>
      <c r="H44" s="27"/>
      <c r="I44" s="27"/>
      <c r="J44" s="27"/>
      <c r="K44" s="27"/>
      <c r="L44" s="27"/>
      <c r="M44" s="21"/>
      <c r="N44" s="27"/>
      <c r="O44" s="27"/>
      <c r="P44" s="27"/>
      <c r="Q44" s="27"/>
      <c r="R44" s="27"/>
      <c r="S44" s="21"/>
      <c r="T44" s="28"/>
      <c r="U44" s="28"/>
      <c r="V44" s="28"/>
      <c r="W44" s="28"/>
      <c r="X44" s="28"/>
      <c r="Y44" s="19"/>
      <c r="Z44" s="18"/>
      <c r="AE44" s="19"/>
      <c r="AH44" s="24"/>
      <c r="AI44" s="30"/>
      <c r="AJ44" s="30"/>
      <c r="AK44" s="30"/>
      <c r="AL44" s="24"/>
      <c r="AM44" s="24"/>
    </row>
    <row r="45" ht="15.75" customHeight="1">
      <c r="B45" s="18"/>
      <c r="C45" s="18"/>
      <c r="D45" s="18"/>
      <c r="E45" s="18"/>
      <c r="F45" s="18"/>
      <c r="G45" s="19"/>
      <c r="H45" s="27"/>
      <c r="I45" s="27"/>
      <c r="J45" s="27"/>
      <c r="K45" s="27"/>
      <c r="L45" s="27"/>
      <c r="M45" s="21"/>
      <c r="N45" s="27"/>
      <c r="O45" s="27"/>
      <c r="P45" s="27"/>
      <c r="Q45" s="27"/>
      <c r="R45" s="27"/>
      <c r="S45" s="21"/>
      <c r="T45" s="28"/>
      <c r="U45" s="28"/>
      <c r="V45" s="28"/>
      <c r="W45" s="28"/>
      <c r="X45" s="28"/>
      <c r="Y45" s="19"/>
      <c r="Z45" s="18"/>
      <c r="AE45" s="19"/>
      <c r="AH45" s="24"/>
      <c r="AI45" s="30"/>
      <c r="AJ45" s="30"/>
      <c r="AK45" s="30"/>
      <c r="AL45" s="24"/>
      <c r="AM45" s="24"/>
    </row>
    <row r="46" ht="15.75" customHeight="1">
      <c r="B46" s="18"/>
      <c r="C46" s="18"/>
      <c r="D46" s="18"/>
      <c r="E46" s="18"/>
      <c r="F46" s="18"/>
      <c r="G46" s="19"/>
      <c r="H46" s="27"/>
      <c r="I46" s="27"/>
      <c r="J46" s="27"/>
      <c r="K46" s="27"/>
      <c r="L46" s="27"/>
      <c r="M46" s="21"/>
      <c r="N46" s="27"/>
      <c r="O46" s="27"/>
      <c r="P46" s="27"/>
      <c r="Q46" s="27"/>
      <c r="R46" s="27"/>
      <c r="S46" s="21"/>
      <c r="T46" s="28"/>
      <c r="U46" s="28"/>
      <c r="V46" s="28"/>
      <c r="W46" s="28"/>
      <c r="X46" s="28"/>
      <c r="Y46" s="19"/>
      <c r="Z46" s="18"/>
      <c r="AE46" s="19"/>
      <c r="AH46" s="24"/>
      <c r="AI46" s="30"/>
      <c r="AJ46" s="30"/>
      <c r="AK46" s="30"/>
      <c r="AL46" s="24"/>
      <c r="AM46" s="24"/>
    </row>
    <row r="47" ht="15.75" customHeight="1">
      <c r="B47" s="18"/>
      <c r="C47" s="18"/>
      <c r="D47" s="18"/>
      <c r="E47" s="18"/>
      <c r="F47" s="18"/>
      <c r="G47" s="19"/>
      <c r="H47" s="27"/>
      <c r="I47" s="27"/>
      <c r="J47" s="27"/>
      <c r="K47" s="27"/>
      <c r="L47" s="27"/>
      <c r="M47" s="21"/>
      <c r="N47" s="27"/>
      <c r="O47" s="27"/>
      <c r="P47" s="27"/>
      <c r="Q47" s="27"/>
      <c r="R47" s="27"/>
      <c r="S47" s="21"/>
      <c r="T47" s="28"/>
      <c r="U47" s="28"/>
      <c r="V47" s="28"/>
      <c r="W47" s="28"/>
      <c r="X47" s="28"/>
      <c r="Y47" s="19"/>
      <c r="Z47" s="18"/>
      <c r="AE47" s="19"/>
      <c r="AH47" s="24"/>
      <c r="AI47" s="30"/>
      <c r="AJ47" s="30"/>
      <c r="AK47" s="30"/>
      <c r="AL47" s="24"/>
      <c r="AM47" s="24"/>
    </row>
    <row r="48" ht="15.75" customHeight="1">
      <c r="B48" s="18"/>
      <c r="C48" s="18"/>
      <c r="D48" s="18"/>
      <c r="E48" s="18"/>
      <c r="F48" s="18"/>
      <c r="G48" s="19"/>
      <c r="H48" s="27"/>
      <c r="I48" s="27"/>
      <c r="J48" s="27"/>
      <c r="K48" s="27"/>
      <c r="L48" s="27"/>
      <c r="M48" s="21"/>
      <c r="N48" s="27"/>
      <c r="O48" s="27"/>
      <c r="P48" s="27"/>
      <c r="Q48" s="27"/>
      <c r="R48" s="27"/>
      <c r="S48" s="21"/>
      <c r="T48" s="28"/>
      <c r="U48" s="28"/>
      <c r="V48" s="28"/>
      <c r="W48" s="28"/>
      <c r="X48" s="28"/>
      <c r="Y48" s="19"/>
      <c r="Z48" s="18"/>
      <c r="AE48" s="19"/>
      <c r="AH48" s="24"/>
      <c r="AI48" s="30"/>
      <c r="AJ48" s="30"/>
      <c r="AK48" s="30"/>
      <c r="AL48" s="24"/>
      <c r="AM48" s="24"/>
    </row>
    <row r="49" ht="15.75" customHeight="1">
      <c r="B49" s="18"/>
      <c r="C49" s="18"/>
      <c r="D49" s="18"/>
      <c r="E49" s="18"/>
      <c r="F49" s="18"/>
      <c r="G49" s="19"/>
      <c r="H49" s="27"/>
      <c r="I49" s="27"/>
      <c r="J49" s="27"/>
      <c r="K49" s="27"/>
      <c r="L49" s="27"/>
      <c r="M49" s="21"/>
      <c r="N49" s="27"/>
      <c r="O49" s="27"/>
      <c r="P49" s="27"/>
      <c r="Q49" s="27"/>
      <c r="R49" s="27"/>
      <c r="S49" s="21"/>
      <c r="T49" s="28"/>
      <c r="U49" s="28"/>
      <c r="V49" s="28"/>
      <c r="W49" s="28"/>
      <c r="X49" s="28"/>
      <c r="Y49" s="19"/>
      <c r="Z49" s="18"/>
      <c r="AE49" s="19"/>
      <c r="AH49" s="24"/>
      <c r="AI49" s="30"/>
      <c r="AJ49" s="30"/>
      <c r="AK49" s="30"/>
      <c r="AL49" s="24"/>
      <c r="AM49" s="24"/>
    </row>
    <row r="50" ht="15.75" customHeight="1">
      <c r="B50" s="18"/>
      <c r="C50" s="18"/>
      <c r="D50" s="18"/>
      <c r="E50" s="18"/>
      <c r="F50" s="18"/>
      <c r="G50" s="19"/>
      <c r="H50" s="27"/>
      <c r="I50" s="27"/>
      <c r="J50" s="27"/>
      <c r="K50" s="27"/>
      <c r="L50" s="27"/>
      <c r="M50" s="21"/>
      <c r="N50" s="27"/>
      <c r="O50" s="27"/>
      <c r="P50" s="27"/>
      <c r="Q50" s="27"/>
      <c r="R50" s="27"/>
      <c r="S50" s="21"/>
      <c r="T50" s="28"/>
      <c r="U50" s="28"/>
      <c r="V50" s="28"/>
      <c r="W50" s="28"/>
      <c r="X50" s="28"/>
      <c r="Y50" s="19"/>
      <c r="Z50" s="18"/>
      <c r="AE50" s="19"/>
      <c r="AH50" s="24"/>
      <c r="AI50" s="30"/>
      <c r="AJ50" s="30"/>
      <c r="AK50" s="30"/>
      <c r="AL50" s="24"/>
      <c r="AM50" s="24"/>
    </row>
    <row r="51" ht="15.75" customHeight="1">
      <c r="B51" s="18"/>
      <c r="C51" s="18"/>
      <c r="D51" s="18"/>
      <c r="E51" s="18"/>
      <c r="F51" s="18"/>
      <c r="G51" s="19"/>
      <c r="H51" s="27"/>
      <c r="I51" s="27"/>
      <c r="J51" s="27"/>
      <c r="K51" s="27"/>
      <c r="L51" s="27"/>
      <c r="M51" s="21"/>
      <c r="N51" s="27"/>
      <c r="O51" s="27"/>
      <c r="P51" s="27"/>
      <c r="Q51" s="27"/>
      <c r="R51" s="27"/>
      <c r="S51" s="21"/>
      <c r="T51" s="28"/>
      <c r="U51" s="28"/>
      <c r="V51" s="28"/>
      <c r="W51" s="28"/>
      <c r="X51" s="28"/>
      <c r="Y51" s="19"/>
      <c r="Z51" s="18"/>
      <c r="AE51" s="19"/>
      <c r="AH51" s="24"/>
      <c r="AI51" s="30"/>
      <c r="AJ51" s="30"/>
      <c r="AK51" s="30"/>
      <c r="AL51" s="24"/>
      <c r="AM51" s="24"/>
    </row>
    <row r="52" ht="15.75" customHeight="1">
      <c r="B52" s="18"/>
      <c r="C52" s="18"/>
      <c r="D52" s="18"/>
      <c r="E52" s="18"/>
      <c r="F52" s="18"/>
      <c r="G52" s="19"/>
      <c r="H52" s="27"/>
      <c r="I52" s="27"/>
      <c r="J52" s="27"/>
      <c r="K52" s="27"/>
      <c r="L52" s="27"/>
      <c r="M52" s="21"/>
      <c r="N52" s="27"/>
      <c r="O52" s="27"/>
      <c r="P52" s="27"/>
      <c r="Q52" s="27"/>
      <c r="R52" s="27"/>
      <c r="S52" s="21"/>
      <c r="T52" s="28"/>
      <c r="U52" s="28"/>
      <c r="V52" s="28"/>
      <c r="W52" s="28"/>
      <c r="X52" s="28"/>
      <c r="Y52" s="19"/>
      <c r="Z52" s="18"/>
      <c r="AE52" s="19"/>
      <c r="AH52" s="24"/>
      <c r="AI52" s="30"/>
      <c r="AJ52" s="30"/>
      <c r="AK52" s="30"/>
      <c r="AL52" s="24"/>
      <c r="AM52" s="24"/>
    </row>
    <row r="53" ht="15.75" customHeight="1">
      <c r="B53" s="18"/>
      <c r="C53" s="18"/>
      <c r="D53" s="18"/>
      <c r="E53" s="18"/>
      <c r="F53" s="18"/>
      <c r="G53" s="19"/>
      <c r="H53" s="27"/>
      <c r="I53" s="27"/>
      <c r="J53" s="27"/>
      <c r="K53" s="27"/>
      <c r="L53" s="27"/>
      <c r="M53" s="21"/>
      <c r="N53" s="27"/>
      <c r="O53" s="27"/>
      <c r="P53" s="27"/>
      <c r="Q53" s="27"/>
      <c r="R53" s="27"/>
      <c r="S53" s="21"/>
      <c r="T53" s="28"/>
      <c r="U53" s="28"/>
      <c r="V53" s="28"/>
      <c r="W53" s="28"/>
      <c r="X53" s="28"/>
      <c r="Y53" s="19"/>
      <c r="Z53" s="18"/>
      <c r="AE53" s="19"/>
      <c r="AH53" s="24"/>
      <c r="AI53" s="30"/>
      <c r="AJ53" s="30"/>
      <c r="AK53" s="30"/>
      <c r="AL53" s="24"/>
      <c r="AM53" s="24"/>
    </row>
    <row r="54" ht="15.75" customHeight="1">
      <c r="B54" s="18"/>
      <c r="C54" s="18"/>
      <c r="D54" s="18"/>
      <c r="E54" s="18"/>
      <c r="F54" s="18"/>
      <c r="G54" s="19"/>
      <c r="H54" s="27"/>
      <c r="I54" s="27"/>
      <c r="J54" s="27"/>
      <c r="K54" s="27"/>
      <c r="L54" s="27"/>
      <c r="M54" s="21"/>
      <c r="N54" s="27"/>
      <c r="O54" s="27"/>
      <c r="P54" s="27"/>
      <c r="Q54" s="27"/>
      <c r="R54" s="27"/>
      <c r="S54" s="21"/>
      <c r="T54" s="28"/>
      <c r="U54" s="28"/>
      <c r="V54" s="28"/>
      <c r="W54" s="28"/>
      <c r="X54" s="28"/>
      <c r="Y54" s="19"/>
      <c r="Z54" s="18"/>
      <c r="AE54" s="19"/>
      <c r="AH54" s="24"/>
      <c r="AI54" s="30"/>
      <c r="AJ54" s="30"/>
      <c r="AK54" s="30"/>
      <c r="AL54" s="24"/>
      <c r="AM54" s="24"/>
    </row>
    <row r="55" ht="15.75" customHeight="1">
      <c r="B55" s="18"/>
      <c r="C55" s="18"/>
      <c r="D55" s="18"/>
      <c r="E55" s="18"/>
      <c r="F55" s="18"/>
      <c r="G55" s="19"/>
      <c r="H55" s="27"/>
      <c r="I55" s="27"/>
      <c r="J55" s="27"/>
      <c r="K55" s="27"/>
      <c r="L55" s="27"/>
      <c r="M55" s="21"/>
      <c r="N55" s="27"/>
      <c r="O55" s="27"/>
      <c r="P55" s="27"/>
      <c r="Q55" s="27"/>
      <c r="R55" s="27"/>
      <c r="S55" s="21"/>
      <c r="T55" s="28"/>
      <c r="U55" s="28"/>
      <c r="V55" s="28"/>
      <c r="W55" s="28"/>
      <c r="X55" s="28"/>
      <c r="Y55" s="19"/>
      <c r="Z55" s="18"/>
      <c r="AE55" s="19"/>
      <c r="AH55" s="24"/>
      <c r="AI55" s="30"/>
      <c r="AJ55" s="30"/>
      <c r="AK55" s="30"/>
      <c r="AL55" s="24"/>
      <c r="AM55" s="24"/>
    </row>
    <row r="56" ht="15.75" customHeight="1">
      <c r="B56" s="18"/>
      <c r="C56" s="18"/>
      <c r="D56" s="18"/>
      <c r="E56" s="18"/>
      <c r="F56" s="18"/>
      <c r="G56" s="19"/>
      <c r="H56" s="27"/>
      <c r="I56" s="27"/>
      <c r="J56" s="27"/>
      <c r="K56" s="27"/>
      <c r="L56" s="27"/>
      <c r="M56" s="21"/>
      <c r="N56" s="27"/>
      <c r="O56" s="27"/>
      <c r="P56" s="27"/>
      <c r="Q56" s="27"/>
      <c r="R56" s="27"/>
      <c r="S56" s="21"/>
      <c r="T56" s="28"/>
      <c r="U56" s="28"/>
      <c r="V56" s="28"/>
      <c r="W56" s="28"/>
      <c r="X56" s="28"/>
      <c r="Y56" s="19"/>
      <c r="Z56" s="18"/>
      <c r="AE56" s="19"/>
      <c r="AH56" s="24"/>
      <c r="AI56" s="30"/>
      <c r="AJ56" s="30"/>
      <c r="AK56" s="30"/>
      <c r="AL56" s="24"/>
      <c r="AM56" s="24"/>
    </row>
    <row r="57" ht="15.75" customHeight="1">
      <c r="B57" s="18"/>
      <c r="C57" s="18"/>
      <c r="D57" s="18"/>
      <c r="E57" s="18"/>
      <c r="F57" s="18"/>
      <c r="G57" s="19"/>
      <c r="H57" s="27"/>
      <c r="I57" s="27"/>
      <c r="J57" s="27"/>
      <c r="K57" s="27"/>
      <c r="L57" s="27"/>
      <c r="M57" s="21"/>
      <c r="N57" s="27"/>
      <c r="O57" s="27"/>
      <c r="P57" s="27"/>
      <c r="Q57" s="27"/>
      <c r="R57" s="27"/>
      <c r="S57" s="21"/>
      <c r="T57" s="28"/>
      <c r="U57" s="28"/>
      <c r="V57" s="28"/>
      <c r="W57" s="28"/>
      <c r="X57" s="28"/>
      <c r="Y57" s="19"/>
      <c r="Z57" s="18"/>
      <c r="AE57" s="19"/>
      <c r="AH57" s="24"/>
      <c r="AI57" s="30"/>
      <c r="AJ57" s="30"/>
      <c r="AK57" s="30"/>
      <c r="AL57" s="24"/>
      <c r="AM57" s="24"/>
    </row>
    <row r="58" ht="15.75" customHeight="1">
      <c r="B58" s="18"/>
      <c r="C58" s="18"/>
      <c r="D58" s="18"/>
      <c r="E58" s="18"/>
      <c r="F58" s="18"/>
      <c r="G58" s="19"/>
      <c r="H58" s="27"/>
      <c r="I58" s="27"/>
      <c r="J58" s="27"/>
      <c r="K58" s="27"/>
      <c r="L58" s="27"/>
      <c r="M58" s="21"/>
      <c r="N58" s="27"/>
      <c r="O58" s="27"/>
      <c r="P58" s="27"/>
      <c r="Q58" s="27"/>
      <c r="R58" s="27"/>
      <c r="S58" s="21"/>
      <c r="T58" s="28"/>
      <c r="U58" s="28"/>
      <c r="V58" s="28"/>
      <c r="W58" s="28"/>
      <c r="X58" s="28"/>
      <c r="Y58" s="19"/>
      <c r="Z58" s="18"/>
      <c r="AE58" s="19"/>
      <c r="AH58" s="24"/>
      <c r="AI58" s="30"/>
      <c r="AJ58" s="30"/>
      <c r="AK58" s="30"/>
      <c r="AL58" s="24"/>
      <c r="AM58" s="24"/>
    </row>
    <row r="59" ht="15.75" customHeight="1">
      <c r="B59" s="18"/>
      <c r="C59" s="18"/>
      <c r="D59" s="18"/>
      <c r="E59" s="18"/>
      <c r="F59" s="18"/>
      <c r="G59" s="19"/>
      <c r="H59" s="27"/>
      <c r="I59" s="27"/>
      <c r="J59" s="27"/>
      <c r="K59" s="27"/>
      <c r="L59" s="27"/>
      <c r="M59" s="21"/>
      <c r="N59" s="27"/>
      <c r="O59" s="27"/>
      <c r="P59" s="27"/>
      <c r="Q59" s="27"/>
      <c r="R59" s="27"/>
      <c r="S59" s="21"/>
      <c r="T59" s="28"/>
      <c r="U59" s="28"/>
      <c r="V59" s="28"/>
      <c r="W59" s="28"/>
      <c r="X59" s="28"/>
      <c r="Y59" s="19"/>
      <c r="Z59" s="18"/>
      <c r="AE59" s="19"/>
      <c r="AH59" s="24"/>
      <c r="AI59" s="30"/>
      <c r="AJ59" s="30"/>
      <c r="AK59" s="30"/>
      <c r="AL59" s="24"/>
      <c r="AM59" s="24"/>
    </row>
    <row r="60" ht="15.75" customHeight="1">
      <c r="B60" s="18"/>
      <c r="C60" s="18"/>
      <c r="D60" s="18"/>
      <c r="E60" s="18"/>
      <c r="F60" s="18"/>
      <c r="G60" s="19"/>
      <c r="H60" s="27"/>
      <c r="I60" s="27"/>
      <c r="J60" s="27"/>
      <c r="K60" s="27"/>
      <c r="L60" s="27"/>
      <c r="M60" s="21"/>
      <c r="N60" s="27"/>
      <c r="O60" s="27"/>
      <c r="P60" s="27"/>
      <c r="Q60" s="27"/>
      <c r="R60" s="27"/>
      <c r="S60" s="21"/>
      <c r="T60" s="28"/>
      <c r="U60" s="28"/>
      <c r="V60" s="28"/>
      <c r="W60" s="28"/>
      <c r="X60" s="28"/>
      <c r="Y60" s="19"/>
      <c r="Z60" s="18"/>
      <c r="AE60" s="19"/>
      <c r="AH60" s="24"/>
      <c r="AI60" s="30"/>
      <c r="AJ60" s="30"/>
      <c r="AK60" s="30"/>
      <c r="AL60" s="24"/>
      <c r="AM60" s="24"/>
    </row>
    <row r="61" ht="15.75" customHeight="1">
      <c r="B61" s="18"/>
      <c r="C61" s="18"/>
      <c r="D61" s="18"/>
      <c r="E61" s="18"/>
      <c r="F61" s="18"/>
      <c r="G61" s="19"/>
      <c r="H61" s="27"/>
      <c r="I61" s="27"/>
      <c r="J61" s="27"/>
      <c r="K61" s="27"/>
      <c r="L61" s="27"/>
      <c r="M61" s="21"/>
      <c r="N61" s="27"/>
      <c r="O61" s="27"/>
      <c r="P61" s="27"/>
      <c r="Q61" s="27"/>
      <c r="R61" s="27"/>
      <c r="S61" s="21"/>
      <c r="T61" s="28"/>
      <c r="U61" s="28"/>
      <c r="V61" s="28"/>
      <c r="W61" s="28"/>
      <c r="X61" s="28"/>
      <c r="Y61" s="19"/>
      <c r="Z61" s="18"/>
      <c r="AE61" s="19"/>
      <c r="AH61" s="24"/>
      <c r="AI61" s="30"/>
      <c r="AJ61" s="30"/>
      <c r="AK61" s="30"/>
      <c r="AL61" s="24"/>
      <c r="AM61" s="24"/>
    </row>
    <row r="62" ht="15.75" customHeight="1">
      <c r="B62" s="18"/>
      <c r="C62" s="18"/>
      <c r="D62" s="18"/>
      <c r="E62" s="18"/>
      <c r="F62" s="18"/>
      <c r="G62" s="19"/>
      <c r="H62" s="27"/>
      <c r="I62" s="27"/>
      <c r="J62" s="27"/>
      <c r="K62" s="27"/>
      <c r="L62" s="27"/>
      <c r="M62" s="21"/>
      <c r="N62" s="27"/>
      <c r="O62" s="27"/>
      <c r="P62" s="27"/>
      <c r="Q62" s="27"/>
      <c r="R62" s="27"/>
      <c r="S62" s="21"/>
      <c r="T62" s="28"/>
      <c r="U62" s="28"/>
      <c r="V62" s="28"/>
      <c r="W62" s="28"/>
      <c r="X62" s="28"/>
      <c r="Y62" s="19"/>
      <c r="Z62" s="18"/>
      <c r="AE62" s="19"/>
      <c r="AH62" s="24"/>
      <c r="AI62" s="30"/>
      <c r="AJ62" s="30"/>
      <c r="AK62" s="30"/>
      <c r="AL62" s="24"/>
      <c r="AM62" s="24"/>
    </row>
    <row r="63" ht="15.75" customHeight="1">
      <c r="B63" s="18"/>
      <c r="C63" s="18"/>
      <c r="D63" s="18"/>
      <c r="E63" s="18"/>
      <c r="F63" s="18"/>
      <c r="G63" s="19"/>
      <c r="H63" s="27"/>
      <c r="I63" s="27"/>
      <c r="J63" s="27"/>
      <c r="K63" s="27"/>
      <c r="L63" s="27"/>
      <c r="M63" s="21"/>
      <c r="N63" s="27"/>
      <c r="O63" s="27"/>
      <c r="P63" s="27"/>
      <c r="Q63" s="27"/>
      <c r="R63" s="27"/>
      <c r="S63" s="21"/>
      <c r="T63" s="28"/>
      <c r="U63" s="28"/>
      <c r="V63" s="28"/>
      <c r="W63" s="28"/>
      <c r="X63" s="28"/>
      <c r="Y63" s="19"/>
      <c r="Z63" s="18"/>
      <c r="AE63" s="19"/>
      <c r="AH63" s="24"/>
      <c r="AI63" s="30"/>
      <c r="AJ63" s="30"/>
      <c r="AK63" s="30"/>
      <c r="AL63" s="24"/>
      <c r="AM63" s="24"/>
    </row>
    <row r="64" ht="15.75" customHeight="1">
      <c r="B64" s="18"/>
      <c r="C64" s="18"/>
      <c r="D64" s="18"/>
      <c r="E64" s="18"/>
      <c r="F64" s="18"/>
      <c r="G64" s="19"/>
      <c r="H64" s="27"/>
      <c r="I64" s="27"/>
      <c r="J64" s="27"/>
      <c r="K64" s="27"/>
      <c r="L64" s="27"/>
      <c r="M64" s="21"/>
      <c r="N64" s="27"/>
      <c r="O64" s="27"/>
      <c r="P64" s="27"/>
      <c r="Q64" s="27"/>
      <c r="R64" s="27"/>
      <c r="S64" s="21"/>
      <c r="T64" s="28"/>
      <c r="U64" s="28"/>
      <c r="V64" s="28"/>
      <c r="W64" s="28"/>
      <c r="X64" s="28"/>
      <c r="Y64" s="19"/>
      <c r="Z64" s="18"/>
      <c r="AE64" s="19"/>
      <c r="AH64" s="24"/>
      <c r="AI64" s="30"/>
      <c r="AJ64" s="30"/>
      <c r="AK64" s="30"/>
      <c r="AL64" s="24"/>
      <c r="AM64" s="24"/>
    </row>
    <row r="65" ht="15.75" customHeight="1">
      <c r="B65" s="18"/>
      <c r="C65" s="18"/>
      <c r="D65" s="18"/>
      <c r="E65" s="18"/>
      <c r="F65" s="18"/>
      <c r="G65" s="19"/>
      <c r="H65" s="27"/>
      <c r="I65" s="27"/>
      <c r="J65" s="27"/>
      <c r="K65" s="27"/>
      <c r="L65" s="27"/>
      <c r="M65" s="21"/>
      <c r="N65" s="27"/>
      <c r="O65" s="27"/>
      <c r="P65" s="27"/>
      <c r="Q65" s="27"/>
      <c r="R65" s="27"/>
      <c r="S65" s="21"/>
      <c r="T65" s="28"/>
      <c r="U65" s="28"/>
      <c r="V65" s="28"/>
      <c r="W65" s="28"/>
      <c r="X65" s="28"/>
      <c r="Y65" s="19"/>
      <c r="Z65" s="18"/>
      <c r="AE65" s="19"/>
      <c r="AH65" s="24"/>
      <c r="AI65" s="30"/>
      <c r="AJ65" s="30"/>
      <c r="AK65" s="30"/>
      <c r="AL65" s="24"/>
      <c r="AM65" s="24"/>
    </row>
    <row r="66" ht="15.75" customHeight="1">
      <c r="B66" s="18"/>
      <c r="C66" s="18"/>
      <c r="D66" s="18"/>
      <c r="E66" s="18"/>
      <c r="F66" s="18"/>
      <c r="G66" s="19"/>
      <c r="H66" s="27"/>
      <c r="I66" s="27"/>
      <c r="J66" s="27"/>
      <c r="K66" s="27"/>
      <c r="L66" s="27"/>
      <c r="M66" s="21"/>
      <c r="N66" s="27"/>
      <c r="O66" s="27"/>
      <c r="P66" s="27"/>
      <c r="Q66" s="27"/>
      <c r="R66" s="27"/>
      <c r="S66" s="21"/>
      <c r="T66" s="28"/>
      <c r="U66" s="28"/>
      <c r="V66" s="28"/>
      <c r="W66" s="28"/>
      <c r="X66" s="28"/>
      <c r="Y66" s="19"/>
      <c r="Z66" s="18"/>
      <c r="AE66" s="19"/>
      <c r="AH66" s="24"/>
      <c r="AI66" s="30"/>
      <c r="AJ66" s="30"/>
      <c r="AK66" s="30"/>
      <c r="AL66" s="24"/>
      <c r="AM66" s="24"/>
    </row>
    <row r="67" ht="15.75" customHeight="1">
      <c r="B67" s="18"/>
      <c r="C67" s="18"/>
      <c r="D67" s="18"/>
      <c r="E67" s="18"/>
      <c r="F67" s="18"/>
      <c r="G67" s="19"/>
      <c r="H67" s="27"/>
      <c r="I67" s="27"/>
      <c r="J67" s="27"/>
      <c r="K67" s="27"/>
      <c r="L67" s="27"/>
      <c r="M67" s="21"/>
      <c r="N67" s="27"/>
      <c r="O67" s="27"/>
      <c r="P67" s="27"/>
      <c r="Q67" s="27"/>
      <c r="R67" s="27"/>
      <c r="S67" s="21"/>
      <c r="T67" s="28"/>
      <c r="U67" s="28"/>
      <c r="V67" s="28"/>
      <c r="W67" s="28"/>
      <c r="X67" s="28"/>
      <c r="Y67" s="19"/>
      <c r="Z67" s="18"/>
      <c r="AE67" s="19"/>
      <c r="AH67" s="24"/>
      <c r="AI67" s="30"/>
      <c r="AJ67" s="30"/>
      <c r="AK67" s="30"/>
      <c r="AL67" s="24"/>
      <c r="AM67" s="24"/>
    </row>
    <row r="68" ht="15.75" customHeight="1">
      <c r="B68" s="18"/>
      <c r="C68" s="18"/>
      <c r="D68" s="18"/>
      <c r="E68" s="18"/>
      <c r="F68" s="18"/>
      <c r="G68" s="19"/>
      <c r="H68" s="27"/>
      <c r="I68" s="27"/>
      <c r="J68" s="27"/>
      <c r="K68" s="27"/>
      <c r="L68" s="27"/>
      <c r="M68" s="21"/>
      <c r="N68" s="27"/>
      <c r="O68" s="27"/>
      <c r="P68" s="27"/>
      <c r="Q68" s="27"/>
      <c r="R68" s="27"/>
      <c r="S68" s="21"/>
      <c r="T68" s="28"/>
      <c r="U68" s="28"/>
      <c r="V68" s="28"/>
      <c r="W68" s="28"/>
      <c r="X68" s="28"/>
      <c r="Y68" s="19"/>
      <c r="Z68" s="18"/>
      <c r="AE68" s="19"/>
      <c r="AH68" s="24"/>
      <c r="AI68" s="30"/>
      <c r="AJ68" s="30"/>
      <c r="AK68" s="30"/>
      <c r="AL68" s="24"/>
      <c r="AM68" s="24"/>
    </row>
    <row r="69" ht="15.75" customHeight="1">
      <c r="B69" s="18"/>
      <c r="C69" s="18"/>
      <c r="D69" s="18"/>
      <c r="E69" s="18"/>
      <c r="F69" s="18"/>
      <c r="G69" s="19"/>
      <c r="H69" s="27"/>
      <c r="I69" s="27"/>
      <c r="J69" s="27"/>
      <c r="K69" s="27"/>
      <c r="L69" s="27"/>
      <c r="M69" s="21"/>
      <c r="N69" s="27"/>
      <c r="O69" s="27"/>
      <c r="P69" s="27"/>
      <c r="Q69" s="27"/>
      <c r="R69" s="27"/>
      <c r="S69" s="21"/>
      <c r="T69" s="28"/>
      <c r="U69" s="28"/>
      <c r="V69" s="28"/>
      <c r="W69" s="28"/>
      <c r="X69" s="28"/>
      <c r="Y69" s="19"/>
      <c r="Z69" s="18"/>
      <c r="AE69" s="19"/>
      <c r="AH69" s="24"/>
      <c r="AI69" s="30"/>
      <c r="AJ69" s="30"/>
      <c r="AK69" s="30"/>
      <c r="AL69" s="24"/>
      <c r="AM69" s="24"/>
    </row>
    <row r="70" ht="15.75" customHeight="1">
      <c r="B70" s="18"/>
      <c r="C70" s="18"/>
      <c r="D70" s="18"/>
      <c r="E70" s="18"/>
      <c r="F70" s="18"/>
      <c r="G70" s="19"/>
      <c r="H70" s="27"/>
      <c r="I70" s="27"/>
      <c r="J70" s="27"/>
      <c r="K70" s="27"/>
      <c r="L70" s="27"/>
      <c r="M70" s="21"/>
      <c r="N70" s="27"/>
      <c r="O70" s="27"/>
      <c r="P70" s="27"/>
      <c r="Q70" s="27"/>
      <c r="R70" s="27"/>
      <c r="S70" s="21"/>
      <c r="T70" s="28"/>
      <c r="U70" s="28"/>
      <c r="V70" s="28"/>
      <c r="W70" s="28"/>
      <c r="X70" s="28"/>
      <c r="Y70" s="19"/>
      <c r="Z70" s="18"/>
      <c r="AE70" s="19"/>
      <c r="AH70" s="24"/>
      <c r="AI70" s="30"/>
      <c r="AJ70" s="30"/>
      <c r="AK70" s="30"/>
      <c r="AL70" s="24"/>
      <c r="AM70" s="24"/>
    </row>
    <row r="71" ht="15.75" customHeight="1">
      <c r="B71" s="18"/>
      <c r="C71" s="18"/>
      <c r="D71" s="18"/>
      <c r="E71" s="18"/>
      <c r="F71" s="18"/>
      <c r="G71" s="19"/>
      <c r="H71" s="27"/>
      <c r="I71" s="27"/>
      <c r="J71" s="27"/>
      <c r="K71" s="27"/>
      <c r="L71" s="27"/>
      <c r="M71" s="21"/>
      <c r="N71" s="27"/>
      <c r="O71" s="27"/>
      <c r="P71" s="27"/>
      <c r="Q71" s="27"/>
      <c r="R71" s="27"/>
      <c r="S71" s="21"/>
      <c r="T71" s="28"/>
      <c r="U71" s="28"/>
      <c r="V71" s="28"/>
      <c r="W71" s="28"/>
      <c r="X71" s="28"/>
      <c r="Y71" s="19"/>
      <c r="Z71" s="18"/>
      <c r="AE71" s="19"/>
      <c r="AH71" s="24"/>
      <c r="AI71" s="30"/>
      <c r="AJ71" s="30"/>
      <c r="AK71" s="30"/>
      <c r="AL71" s="24"/>
      <c r="AM71" s="24"/>
    </row>
    <row r="72" ht="15.75" customHeight="1">
      <c r="B72" s="18"/>
      <c r="C72" s="18"/>
      <c r="D72" s="18"/>
      <c r="E72" s="18"/>
      <c r="F72" s="18"/>
      <c r="G72" s="19"/>
      <c r="H72" s="27"/>
      <c r="I72" s="27"/>
      <c r="J72" s="27"/>
      <c r="K72" s="27"/>
      <c r="L72" s="27"/>
      <c r="M72" s="21"/>
      <c r="N72" s="27"/>
      <c r="O72" s="27"/>
      <c r="P72" s="27"/>
      <c r="Q72" s="27"/>
      <c r="R72" s="27"/>
      <c r="S72" s="21"/>
      <c r="T72" s="28"/>
      <c r="U72" s="28"/>
      <c r="V72" s="28"/>
      <c r="W72" s="28"/>
      <c r="X72" s="28"/>
      <c r="Y72" s="19"/>
      <c r="Z72" s="18"/>
      <c r="AE72" s="19"/>
      <c r="AH72" s="24"/>
      <c r="AI72" s="30"/>
      <c r="AJ72" s="30"/>
      <c r="AK72" s="30"/>
      <c r="AL72" s="24"/>
      <c r="AM72" s="24"/>
    </row>
    <row r="73" ht="15.75" customHeight="1">
      <c r="B73" s="18"/>
      <c r="C73" s="18"/>
      <c r="D73" s="18"/>
      <c r="E73" s="18"/>
      <c r="F73" s="18"/>
      <c r="G73" s="19"/>
      <c r="H73" s="27"/>
      <c r="I73" s="27"/>
      <c r="J73" s="27"/>
      <c r="K73" s="27"/>
      <c r="L73" s="27"/>
      <c r="M73" s="21"/>
      <c r="N73" s="27"/>
      <c r="O73" s="27"/>
      <c r="P73" s="27"/>
      <c r="Q73" s="27"/>
      <c r="R73" s="27"/>
      <c r="S73" s="21"/>
      <c r="T73" s="28"/>
      <c r="U73" s="28"/>
      <c r="V73" s="28"/>
      <c r="W73" s="28"/>
      <c r="X73" s="28"/>
      <c r="Y73" s="19"/>
      <c r="Z73" s="18"/>
      <c r="AE73" s="19"/>
      <c r="AH73" s="24"/>
      <c r="AI73" s="30"/>
      <c r="AJ73" s="30"/>
      <c r="AK73" s="30"/>
      <c r="AL73" s="24"/>
      <c r="AM73" s="24"/>
    </row>
    <row r="74" ht="15.75" customHeight="1">
      <c r="B74" s="18"/>
      <c r="C74" s="18"/>
      <c r="D74" s="18"/>
      <c r="E74" s="18"/>
      <c r="F74" s="18"/>
      <c r="G74" s="19"/>
      <c r="H74" s="27"/>
      <c r="I74" s="27"/>
      <c r="J74" s="27"/>
      <c r="K74" s="27"/>
      <c r="L74" s="27"/>
      <c r="M74" s="21"/>
      <c r="N74" s="27"/>
      <c r="O74" s="27"/>
      <c r="P74" s="27"/>
      <c r="Q74" s="27"/>
      <c r="R74" s="27"/>
      <c r="S74" s="21"/>
      <c r="T74" s="28"/>
      <c r="U74" s="28"/>
      <c r="V74" s="28"/>
      <c r="W74" s="28"/>
      <c r="X74" s="28"/>
      <c r="Y74" s="19"/>
      <c r="Z74" s="18"/>
      <c r="AE74" s="19"/>
      <c r="AH74" s="24"/>
      <c r="AI74" s="30"/>
      <c r="AJ74" s="30"/>
      <c r="AK74" s="30"/>
      <c r="AL74" s="24"/>
      <c r="AM74" s="24"/>
    </row>
    <row r="75" ht="15.75" customHeight="1">
      <c r="B75" s="18"/>
      <c r="C75" s="18"/>
      <c r="D75" s="18"/>
      <c r="E75" s="18"/>
      <c r="F75" s="18"/>
      <c r="G75" s="19"/>
      <c r="H75" s="27"/>
      <c r="I75" s="27"/>
      <c r="J75" s="27"/>
      <c r="K75" s="27"/>
      <c r="L75" s="27"/>
      <c r="M75" s="21"/>
      <c r="N75" s="27"/>
      <c r="O75" s="27"/>
      <c r="P75" s="27"/>
      <c r="Q75" s="27"/>
      <c r="R75" s="27"/>
      <c r="S75" s="21"/>
      <c r="T75" s="28"/>
      <c r="U75" s="28"/>
      <c r="V75" s="28"/>
      <c r="W75" s="28"/>
      <c r="X75" s="28"/>
      <c r="Y75" s="19"/>
      <c r="Z75" s="18"/>
      <c r="AE75" s="19"/>
      <c r="AH75" s="24"/>
      <c r="AI75" s="30"/>
      <c r="AJ75" s="30"/>
      <c r="AK75" s="30"/>
      <c r="AL75" s="24"/>
      <c r="AM75" s="24"/>
    </row>
    <row r="76" ht="15.75" customHeight="1">
      <c r="B76" s="18"/>
      <c r="C76" s="18"/>
      <c r="D76" s="18"/>
      <c r="E76" s="18"/>
      <c r="F76" s="18"/>
      <c r="G76" s="19"/>
      <c r="H76" s="27"/>
      <c r="I76" s="27"/>
      <c r="J76" s="27"/>
      <c r="K76" s="27"/>
      <c r="L76" s="27"/>
      <c r="M76" s="21"/>
      <c r="N76" s="27"/>
      <c r="O76" s="27"/>
      <c r="P76" s="27"/>
      <c r="Q76" s="27"/>
      <c r="R76" s="27"/>
      <c r="S76" s="21"/>
      <c r="T76" s="28"/>
      <c r="U76" s="28"/>
      <c r="V76" s="28"/>
      <c r="W76" s="28"/>
      <c r="X76" s="28"/>
      <c r="Y76" s="19"/>
      <c r="Z76" s="18"/>
      <c r="AE76" s="19"/>
      <c r="AH76" s="24"/>
      <c r="AI76" s="30"/>
      <c r="AJ76" s="30"/>
      <c r="AK76" s="30"/>
      <c r="AL76" s="24"/>
      <c r="AM76" s="24"/>
    </row>
    <row r="77" ht="15.75" customHeight="1">
      <c r="B77" s="18"/>
      <c r="C77" s="18"/>
      <c r="D77" s="18"/>
      <c r="E77" s="18"/>
      <c r="F77" s="18"/>
      <c r="G77" s="19"/>
      <c r="H77" s="27"/>
      <c r="I77" s="27"/>
      <c r="J77" s="27"/>
      <c r="K77" s="27"/>
      <c r="L77" s="27"/>
      <c r="M77" s="21"/>
      <c r="N77" s="27"/>
      <c r="O77" s="27"/>
      <c r="P77" s="27"/>
      <c r="Q77" s="27"/>
      <c r="R77" s="27"/>
      <c r="S77" s="21"/>
      <c r="T77" s="28"/>
      <c r="U77" s="28"/>
      <c r="V77" s="28"/>
      <c r="W77" s="28"/>
      <c r="X77" s="28"/>
      <c r="Y77" s="19"/>
      <c r="Z77" s="18"/>
      <c r="AE77" s="19"/>
      <c r="AH77" s="24"/>
      <c r="AI77" s="30"/>
      <c r="AJ77" s="30"/>
      <c r="AK77" s="30"/>
      <c r="AL77" s="24"/>
      <c r="AM77" s="24"/>
    </row>
    <row r="78" ht="15.75" customHeight="1">
      <c r="B78" s="18"/>
      <c r="C78" s="18"/>
      <c r="D78" s="18"/>
      <c r="E78" s="18"/>
      <c r="F78" s="18"/>
      <c r="G78" s="19"/>
      <c r="H78" s="27"/>
      <c r="I78" s="27"/>
      <c r="J78" s="27"/>
      <c r="K78" s="27"/>
      <c r="L78" s="27"/>
      <c r="M78" s="21"/>
      <c r="N78" s="27"/>
      <c r="O78" s="27"/>
      <c r="P78" s="27"/>
      <c r="Q78" s="27"/>
      <c r="R78" s="27"/>
      <c r="S78" s="21"/>
      <c r="T78" s="28"/>
      <c r="U78" s="28"/>
      <c r="V78" s="28"/>
      <c r="W78" s="28"/>
      <c r="X78" s="28"/>
      <c r="Y78" s="19"/>
      <c r="Z78" s="18"/>
      <c r="AE78" s="19"/>
      <c r="AH78" s="24"/>
      <c r="AI78" s="30"/>
      <c r="AJ78" s="30"/>
      <c r="AK78" s="30"/>
      <c r="AL78" s="24"/>
      <c r="AM78" s="24"/>
    </row>
    <row r="79" ht="15.75" customHeight="1">
      <c r="B79" s="18"/>
      <c r="C79" s="18"/>
      <c r="D79" s="18"/>
      <c r="E79" s="18"/>
      <c r="F79" s="18"/>
      <c r="G79" s="19"/>
      <c r="H79" s="27"/>
      <c r="I79" s="27"/>
      <c r="J79" s="27"/>
      <c r="K79" s="27"/>
      <c r="L79" s="27"/>
      <c r="M79" s="21"/>
      <c r="N79" s="27"/>
      <c r="O79" s="27"/>
      <c r="P79" s="27"/>
      <c r="Q79" s="27"/>
      <c r="R79" s="27"/>
      <c r="S79" s="21"/>
      <c r="T79" s="28"/>
      <c r="U79" s="28"/>
      <c r="V79" s="28"/>
      <c r="W79" s="28"/>
      <c r="X79" s="28"/>
      <c r="Y79" s="19"/>
      <c r="Z79" s="18"/>
      <c r="AE79" s="19"/>
      <c r="AH79" s="24"/>
      <c r="AI79" s="30"/>
      <c r="AJ79" s="30"/>
      <c r="AK79" s="30"/>
      <c r="AL79" s="24"/>
      <c r="AM79" s="24"/>
    </row>
    <row r="80" ht="15.75" customHeight="1">
      <c r="B80" s="18"/>
      <c r="C80" s="18"/>
      <c r="D80" s="18"/>
      <c r="E80" s="18"/>
      <c r="F80" s="18"/>
      <c r="G80" s="19"/>
      <c r="H80" s="27"/>
      <c r="I80" s="27"/>
      <c r="J80" s="27"/>
      <c r="K80" s="27"/>
      <c r="L80" s="27"/>
      <c r="M80" s="21"/>
      <c r="N80" s="27"/>
      <c r="O80" s="27"/>
      <c r="P80" s="27"/>
      <c r="Q80" s="27"/>
      <c r="R80" s="27"/>
      <c r="S80" s="21"/>
      <c r="T80" s="28"/>
      <c r="U80" s="28"/>
      <c r="V80" s="28"/>
      <c r="W80" s="28"/>
      <c r="X80" s="28"/>
      <c r="Y80" s="19"/>
      <c r="Z80" s="18"/>
      <c r="AE80" s="19"/>
      <c r="AH80" s="24"/>
      <c r="AI80" s="30"/>
      <c r="AJ80" s="30"/>
      <c r="AK80" s="30"/>
      <c r="AL80" s="24"/>
      <c r="AM80" s="24"/>
    </row>
    <row r="81" ht="15.75" customHeight="1">
      <c r="B81" s="18"/>
      <c r="C81" s="18"/>
      <c r="D81" s="18"/>
      <c r="E81" s="18"/>
      <c r="F81" s="18"/>
      <c r="G81" s="19"/>
      <c r="H81" s="27"/>
      <c r="I81" s="27"/>
      <c r="J81" s="27"/>
      <c r="K81" s="27"/>
      <c r="L81" s="27"/>
      <c r="M81" s="21"/>
      <c r="N81" s="27"/>
      <c r="O81" s="27"/>
      <c r="P81" s="27"/>
      <c r="Q81" s="27"/>
      <c r="R81" s="27"/>
      <c r="S81" s="21"/>
      <c r="T81" s="28"/>
      <c r="U81" s="28"/>
      <c r="V81" s="28"/>
      <c r="W81" s="28"/>
      <c r="X81" s="28"/>
      <c r="Y81" s="19"/>
      <c r="Z81" s="18"/>
      <c r="AE81" s="19"/>
      <c r="AH81" s="24"/>
      <c r="AI81" s="30"/>
      <c r="AJ81" s="30"/>
      <c r="AK81" s="30"/>
      <c r="AL81" s="24"/>
      <c r="AM81" s="24"/>
    </row>
    <row r="82" ht="15.75" customHeight="1">
      <c r="B82" s="18"/>
      <c r="C82" s="18"/>
      <c r="D82" s="18"/>
      <c r="E82" s="18"/>
      <c r="F82" s="18"/>
      <c r="G82" s="19"/>
      <c r="H82" s="27"/>
      <c r="I82" s="27"/>
      <c r="J82" s="27"/>
      <c r="K82" s="27"/>
      <c r="L82" s="27"/>
      <c r="M82" s="21"/>
      <c r="N82" s="27"/>
      <c r="O82" s="27"/>
      <c r="P82" s="27"/>
      <c r="Q82" s="27"/>
      <c r="R82" s="27"/>
      <c r="S82" s="21"/>
      <c r="T82" s="28"/>
      <c r="U82" s="28"/>
      <c r="V82" s="28"/>
      <c r="W82" s="28"/>
      <c r="X82" s="28"/>
      <c r="Y82" s="19"/>
      <c r="Z82" s="18"/>
      <c r="AE82" s="19"/>
      <c r="AH82" s="24"/>
      <c r="AI82" s="30"/>
      <c r="AJ82" s="30"/>
      <c r="AK82" s="30"/>
      <c r="AL82" s="24"/>
      <c r="AM82" s="24"/>
    </row>
    <row r="83" ht="15.75" customHeight="1">
      <c r="B83" s="18"/>
      <c r="C83" s="18"/>
      <c r="D83" s="18"/>
      <c r="E83" s="18"/>
      <c r="F83" s="18"/>
      <c r="G83" s="19"/>
      <c r="H83" s="27"/>
      <c r="I83" s="27"/>
      <c r="J83" s="27"/>
      <c r="K83" s="27"/>
      <c r="L83" s="27"/>
      <c r="M83" s="21"/>
      <c r="N83" s="27"/>
      <c r="O83" s="27"/>
      <c r="P83" s="27"/>
      <c r="Q83" s="27"/>
      <c r="R83" s="27"/>
      <c r="S83" s="21"/>
      <c r="T83" s="28"/>
      <c r="U83" s="28"/>
      <c r="V83" s="28"/>
      <c r="W83" s="28"/>
      <c r="X83" s="28"/>
      <c r="Y83" s="19"/>
      <c r="Z83" s="18"/>
      <c r="AE83" s="19"/>
      <c r="AH83" s="24"/>
      <c r="AI83" s="30"/>
      <c r="AJ83" s="30"/>
      <c r="AK83" s="30"/>
      <c r="AL83" s="24"/>
      <c r="AM83" s="24"/>
    </row>
    <row r="84" ht="15.75" customHeight="1">
      <c r="B84" s="18"/>
      <c r="C84" s="18"/>
      <c r="D84" s="18"/>
      <c r="E84" s="18"/>
      <c r="F84" s="18"/>
      <c r="G84" s="19"/>
      <c r="H84" s="27"/>
      <c r="I84" s="27"/>
      <c r="J84" s="27"/>
      <c r="K84" s="27"/>
      <c r="L84" s="27"/>
      <c r="M84" s="21"/>
      <c r="N84" s="27"/>
      <c r="O84" s="27"/>
      <c r="P84" s="27"/>
      <c r="Q84" s="27"/>
      <c r="R84" s="27"/>
      <c r="S84" s="21"/>
      <c r="T84" s="28"/>
      <c r="U84" s="28"/>
      <c r="V84" s="28"/>
      <c r="W84" s="28"/>
      <c r="X84" s="28"/>
      <c r="Y84" s="19"/>
      <c r="Z84" s="18"/>
      <c r="AE84" s="19"/>
      <c r="AH84" s="24"/>
      <c r="AI84" s="30"/>
      <c r="AJ84" s="30"/>
      <c r="AK84" s="30"/>
      <c r="AL84" s="24"/>
      <c r="AM84" s="24"/>
    </row>
    <row r="85" ht="15.75" customHeight="1">
      <c r="B85" s="18"/>
      <c r="C85" s="18"/>
      <c r="D85" s="18"/>
      <c r="E85" s="18"/>
      <c r="F85" s="18"/>
      <c r="G85" s="19"/>
      <c r="H85" s="27"/>
      <c r="I85" s="27"/>
      <c r="J85" s="27"/>
      <c r="K85" s="27"/>
      <c r="L85" s="27"/>
      <c r="M85" s="21"/>
      <c r="N85" s="27"/>
      <c r="O85" s="27"/>
      <c r="P85" s="27"/>
      <c r="Q85" s="27"/>
      <c r="R85" s="27"/>
      <c r="S85" s="21"/>
      <c r="T85" s="28"/>
      <c r="U85" s="28"/>
      <c r="V85" s="28"/>
      <c r="W85" s="28"/>
      <c r="X85" s="28"/>
      <c r="Y85" s="19"/>
      <c r="Z85" s="18"/>
      <c r="AE85" s="19"/>
      <c r="AH85" s="24"/>
      <c r="AI85" s="30"/>
      <c r="AJ85" s="30"/>
      <c r="AK85" s="30"/>
      <c r="AL85" s="24"/>
      <c r="AM85" s="24"/>
    </row>
    <row r="86" ht="15.75" customHeight="1">
      <c r="B86" s="18"/>
      <c r="C86" s="18"/>
      <c r="D86" s="18"/>
      <c r="E86" s="18"/>
      <c r="F86" s="18"/>
      <c r="G86" s="19"/>
      <c r="H86" s="27"/>
      <c r="I86" s="27"/>
      <c r="J86" s="27"/>
      <c r="K86" s="27"/>
      <c r="L86" s="27"/>
      <c r="M86" s="21"/>
      <c r="N86" s="27"/>
      <c r="O86" s="27"/>
      <c r="P86" s="27"/>
      <c r="Q86" s="27"/>
      <c r="R86" s="27"/>
      <c r="S86" s="21"/>
      <c r="T86" s="28"/>
      <c r="U86" s="28"/>
      <c r="V86" s="28"/>
      <c r="W86" s="28"/>
      <c r="X86" s="28"/>
      <c r="Y86" s="19"/>
      <c r="Z86" s="18"/>
      <c r="AE86" s="19"/>
      <c r="AH86" s="24"/>
      <c r="AI86" s="30"/>
      <c r="AJ86" s="30"/>
      <c r="AK86" s="30"/>
      <c r="AL86" s="24"/>
      <c r="AM86" s="24"/>
    </row>
    <row r="87" ht="15.75" customHeight="1">
      <c r="B87" s="18"/>
      <c r="C87" s="18"/>
      <c r="D87" s="18"/>
      <c r="E87" s="18"/>
      <c r="F87" s="18"/>
      <c r="G87" s="19"/>
      <c r="H87" s="27"/>
      <c r="I87" s="27"/>
      <c r="J87" s="27"/>
      <c r="K87" s="27"/>
      <c r="L87" s="27"/>
      <c r="M87" s="21"/>
      <c r="N87" s="27"/>
      <c r="O87" s="27"/>
      <c r="P87" s="27"/>
      <c r="Q87" s="27"/>
      <c r="R87" s="27"/>
      <c r="S87" s="21"/>
      <c r="T87" s="28"/>
      <c r="U87" s="28"/>
      <c r="V87" s="28"/>
      <c r="W87" s="28"/>
      <c r="X87" s="28"/>
      <c r="Y87" s="19"/>
      <c r="Z87" s="18"/>
      <c r="AE87" s="19"/>
      <c r="AH87" s="24"/>
      <c r="AI87" s="30"/>
      <c r="AJ87" s="30"/>
      <c r="AK87" s="30"/>
      <c r="AL87" s="24"/>
      <c r="AM87" s="24"/>
    </row>
    <row r="88" ht="15.75" customHeight="1">
      <c r="B88" s="18"/>
      <c r="C88" s="18"/>
      <c r="D88" s="18"/>
      <c r="E88" s="18"/>
      <c r="F88" s="18"/>
      <c r="G88" s="19"/>
      <c r="H88" s="27"/>
      <c r="I88" s="27"/>
      <c r="J88" s="27"/>
      <c r="K88" s="27"/>
      <c r="L88" s="27"/>
      <c r="M88" s="21"/>
      <c r="N88" s="27"/>
      <c r="O88" s="27"/>
      <c r="P88" s="27"/>
      <c r="Q88" s="27"/>
      <c r="R88" s="27"/>
      <c r="S88" s="21"/>
      <c r="T88" s="28"/>
      <c r="U88" s="28"/>
      <c r="V88" s="28"/>
      <c r="W88" s="28"/>
      <c r="X88" s="28"/>
      <c r="Y88" s="19"/>
      <c r="Z88" s="18"/>
      <c r="AE88" s="19"/>
      <c r="AH88" s="24"/>
      <c r="AI88" s="30"/>
      <c r="AJ88" s="30"/>
      <c r="AK88" s="30"/>
      <c r="AL88" s="24"/>
      <c r="AM88" s="24"/>
    </row>
    <row r="89" ht="15.75" customHeight="1">
      <c r="B89" s="18"/>
      <c r="C89" s="18"/>
      <c r="D89" s="18"/>
      <c r="E89" s="18"/>
      <c r="F89" s="18"/>
      <c r="G89" s="19"/>
      <c r="H89" s="27"/>
      <c r="I89" s="27"/>
      <c r="J89" s="27"/>
      <c r="K89" s="27"/>
      <c r="L89" s="27"/>
      <c r="M89" s="21"/>
      <c r="N89" s="27"/>
      <c r="O89" s="27"/>
      <c r="P89" s="27"/>
      <c r="Q89" s="27"/>
      <c r="R89" s="27"/>
      <c r="S89" s="21"/>
      <c r="T89" s="28"/>
      <c r="U89" s="28"/>
      <c r="V89" s="28"/>
      <c r="W89" s="28"/>
      <c r="X89" s="28"/>
      <c r="Y89" s="19"/>
      <c r="Z89" s="18"/>
      <c r="AE89" s="19"/>
      <c r="AH89" s="24"/>
      <c r="AI89" s="30"/>
      <c r="AJ89" s="30"/>
      <c r="AK89" s="30"/>
      <c r="AL89" s="24"/>
      <c r="AM89" s="24"/>
    </row>
    <row r="90" ht="15.75" customHeight="1">
      <c r="B90" s="18"/>
      <c r="C90" s="18"/>
      <c r="D90" s="18"/>
      <c r="E90" s="18"/>
      <c r="F90" s="18"/>
      <c r="G90" s="19"/>
      <c r="H90" s="27"/>
      <c r="I90" s="27"/>
      <c r="J90" s="27"/>
      <c r="K90" s="27"/>
      <c r="L90" s="27"/>
      <c r="M90" s="21"/>
      <c r="N90" s="27"/>
      <c r="O90" s="27"/>
      <c r="P90" s="27"/>
      <c r="Q90" s="27"/>
      <c r="R90" s="27"/>
      <c r="S90" s="21"/>
      <c r="T90" s="28"/>
      <c r="U90" s="28"/>
      <c r="V90" s="28"/>
      <c r="W90" s="28"/>
      <c r="X90" s="28"/>
      <c r="Y90" s="19"/>
      <c r="Z90" s="18"/>
      <c r="AE90" s="19"/>
      <c r="AH90" s="24"/>
      <c r="AI90" s="30"/>
      <c r="AJ90" s="30"/>
      <c r="AK90" s="30"/>
      <c r="AL90" s="24"/>
      <c r="AM90" s="24"/>
    </row>
    <row r="91" ht="15.75" customHeight="1">
      <c r="B91" s="18"/>
      <c r="C91" s="18"/>
      <c r="D91" s="18"/>
      <c r="E91" s="18"/>
      <c r="F91" s="18"/>
      <c r="G91" s="19"/>
      <c r="H91" s="27"/>
      <c r="I91" s="27"/>
      <c r="J91" s="27"/>
      <c r="K91" s="27"/>
      <c r="L91" s="27"/>
      <c r="M91" s="21"/>
      <c r="N91" s="27"/>
      <c r="O91" s="27"/>
      <c r="P91" s="27"/>
      <c r="Q91" s="27"/>
      <c r="R91" s="27"/>
      <c r="S91" s="21"/>
      <c r="T91" s="28"/>
      <c r="U91" s="28"/>
      <c r="V91" s="28"/>
      <c r="W91" s="28"/>
      <c r="X91" s="28"/>
      <c r="Y91" s="19"/>
      <c r="Z91" s="18"/>
      <c r="AE91" s="19"/>
      <c r="AH91" s="24"/>
      <c r="AI91" s="30"/>
      <c r="AJ91" s="30"/>
      <c r="AK91" s="30"/>
      <c r="AL91" s="24"/>
      <c r="AM91" s="24"/>
    </row>
    <row r="92" ht="15.75" customHeight="1">
      <c r="B92" s="18"/>
      <c r="C92" s="18"/>
      <c r="D92" s="18"/>
      <c r="E92" s="18"/>
      <c r="F92" s="18"/>
      <c r="G92" s="19"/>
      <c r="H92" s="27"/>
      <c r="I92" s="27"/>
      <c r="J92" s="27"/>
      <c r="K92" s="27"/>
      <c r="L92" s="27"/>
      <c r="M92" s="21"/>
      <c r="N92" s="27"/>
      <c r="O92" s="27"/>
      <c r="P92" s="27"/>
      <c r="Q92" s="27"/>
      <c r="R92" s="27"/>
      <c r="S92" s="21"/>
      <c r="T92" s="28"/>
      <c r="U92" s="28"/>
      <c r="V92" s="28"/>
      <c r="W92" s="28"/>
      <c r="X92" s="28"/>
      <c r="Y92" s="19"/>
      <c r="Z92" s="18"/>
      <c r="AE92" s="19"/>
      <c r="AH92" s="24"/>
      <c r="AI92" s="30"/>
      <c r="AJ92" s="30"/>
      <c r="AK92" s="30"/>
      <c r="AL92" s="24"/>
      <c r="AM92" s="24"/>
    </row>
    <row r="93" ht="15.75" customHeight="1">
      <c r="B93" s="18"/>
      <c r="C93" s="18"/>
      <c r="D93" s="18"/>
      <c r="E93" s="18"/>
      <c r="F93" s="18"/>
      <c r="G93" s="19"/>
      <c r="H93" s="27"/>
      <c r="I93" s="27"/>
      <c r="J93" s="27"/>
      <c r="K93" s="27"/>
      <c r="L93" s="27"/>
      <c r="M93" s="21"/>
      <c r="N93" s="27"/>
      <c r="O93" s="27"/>
      <c r="P93" s="27"/>
      <c r="Q93" s="27"/>
      <c r="R93" s="27"/>
      <c r="S93" s="21"/>
      <c r="T93" s="28"/>
      <c r="U93" s="28"/>
      <c r="V93" s="28"/>
      <c r="W93" s="28"/>
      <c r="X93" s="28"/>
      <c r="Y93" s="19"/>
      <c r="Z93" s="18"/>
      <c r="AE93" s="19"/>
      <c r="AH93" s="24"/>
      <c r="AI93" s="30"/>
      <c r="AJ93" s="30"/>
      <c r="AK93" s="30"/>
      <c r="AL93" s="24"/>
      <c r="AM93" s="24"/>
    </row>
    <row r="94" ht="15.75" customHeight="1">
      <c r="B94" s="18"/>
      <c r="C94" s="18"/>
      <c r="D94" s="18"/>
      <c r="E94" s="18"/>
      <c r="F94" s="18"/>
      <c r="G94" s="19"/>
      <c r="H94" s="27"/>
      <c r="I94" s="27"/>
      <c r="J94" s="27"/>
      <c r="K94" s="27"/>
      <c r="L94" s="27"/>
      <c r="M94" s="21"/>
      <c r="N94" s="27"/>
      <c r="O94" s="27"/>
      <c r="P94" s="27"/>
      <c r="Q94" s="27"/>
      <c r="R94" s="27"/>
      <c r="S94" s="21"/>
      <c r="T94" s="28"/>
      <c r="U94" s="28"/>
      <c r="V94" s="28"/>
      <c r="W94" s="28"/>
      <c r="X94" s="28"/>
      <c r="Y94" s="19"/>
      <c r="Z94" s="18"/>
      <c r="AE94" s="19"/>
      <c r="AH94" s="24"/>
      <c r="AI94" s="30"/>
      <c r="AJ94" s="30"/>
      <c r="AK94" s="30"/>
      <c r="AL94" s="24"/>
      <c r="AM94" s="24"/>
    </row>
    <row r="95" ht="15.75" customHeight="1">
      <c r="B95" s="18"/>
      <c r="C95" s="18"/>
      <c r="D95" s="18"/>
      <c r="E95" s="18"/>
      <c r="F95" s="18"/>
      <c r="G95" s="19"/>
      <c r="H95" s="27"/>
      <c r="I95" s="27"/>
      <c r="J95" s="27"/>
      <c r="K95" s="27"/>
      <c r="L95" s="27"/>
      <c r="M95" s="21"/>
      <c r="N95" s="27"/>
      <c r="O95" s="27"/>
      <c r="P95" s="27"/>
      <c r="Q95" s="27"/>
      <c r="R95" s="27"/>
      <c r="S95" s="21"/>
      <c r="T95" s="28"/>
      <c r="U95" s="28"/>
      <c r="V95" s="28"/>
      <c r="W95" s="28"/>
      <c r="X95" s="28"/>
      <c r="Y95" s="19"/>
      <c r="Z95" s="18"/>
      <c r="AE95" s="19"/>
      <c r="AH95" s="24"/>
      <c r="AI95" s="30"/>
      <c r="AJ95" s="30"/>
      <c r="AK95" s="30"/>
      <c r="AL95" s="24"/>
      <c r="AM95" s="24"/>
    </row>
    <row r="96" ht="15.75" customHeight="1">
      <c r="B96" s="18"/>
      <c r="C96" s="18"/>
      <c r="D96" s="18"/>
      <c r="E96" s="18"/>
      <c r="F96" s="18"/>
      <c r="G96" s="19"/>
      <c r="H96" s="27"/>
      <c r="I96" s="27"/>
      <c r="J96" s="27"/>
      <c r="K96" s="27"/>
      <c r="L96" s="27"/>
      <c r="M96" s="21"/>
      <c r="N96" s="27"/>
      <c r="O96" s="27"/>
      <c r="P96" s="27"/>
      <c r="Q96" s="27"/>
      <c r="R96" s="27"/>
      <c r="S96" s="21"/>
      <c r="T96" s="28"/>
      <c r="U96" s="28"/>
      <c r="V96" s="28"/>
      <c r="W96" s="28"/>
      <c r="X96" s="28"/>
      <c r="Y96" s="19"/>
      <c r="Z96" s="18"/>
      <c r="AE96" s="19"/>
      <c r="AH96" s="24"/>
      <c r="AI96" s="30"/>
      <c r="AJ96" s="30"/>
      <c r="AK96" s="30"/>
      <c r="AL96" s="24"/>
      <c r="AM96" s="24"/>
    </row>
    <row r="97" ht="15.75" customHeight="1">
      <c r="B97" s="18"/>
      <c r="C97" s="18"/>
      <c r="D97" s="18"/>
      <c r="E97" s="18"/>
      <c r="F97" s="18"/>
      <c r="G97" s="19"/>
      <c r="H97" s="27"/>
      <c r="I97" s="27"/>
      <c r="J97" s="27"/>
      <c r="K97" s="27"/>
      <c r="L97" s="27"/>
      <c r="M97" s="21"/>
      <c r="N97" s="27"/>
      <c r="O97" s="27"/>
      <c r="P97" s="27"/>
      <c r="Q97" s="27"/>
      <c r="R97" s="27"/>
      <c r="S97" s="21"/>
      <c r="T97" s="28"/>
      <c r="U97" s="28"/>
      <c r="V97" s="28"/>
      <c r="W97" s="28"/>
      <c r="X97" s="28"/>
      <c r="Y97" s="19"/>
      <c r="Z97" s="18"/>
      <c r="AE97" s="19"/>
      <c r="AH97" s="24"/>
      <c r="AI97" s="30"/>
      <c r="AJ97" s="30"/>
      <c r="AK97" s="30"/>
      <c r="AL97" s="24"/>
      <c r="AM97" s="24"/>
    </row>
    <row r="98" ht="15.75" customHeight="1">
      <c r="B98" s="18"/>
      <c r="C98" s="18"/>
      <c r="D98" s="18"/>
      <c r="E98" s="18"/>
      <c r="F98" s="18"/>
      <c r="G98" s="19"/>
      <c r="H98" s="27"/>
      <c r="I98" s="27"/>
      <c r="J98" s="27"/>
      <c r="K98" s="27"/>
      <c r="L98" s="27"/>
      <c r="M98" s="21"/>
      <c r="N98" s="27"/>
      <c r="O98" s="27"/>
      <c r="P98" s="27"/>
      <c r="Q98" s="27"/>
      <c r="R98" s="27"/>
      <c r="S98" s="21"/>
      <c r="T98" s="28"/>
      <c r="U98" s="28"/>
      <c r="V98" s="28"/>
      <c r="W98" s="28"/>
      <c r="X98" s="28"/>
      <c r="Y98" s="19"/>
      <c r="Z98" s="18"/>
      <c r="AE98" s="19"/>
      <c r="AH98" s="24"/>
      <c r="AI98" s="30"/>
      <c r="AJ98" s="30"/>
      <c r="AK98" s="30"/>
      <c r="AL98" s="24"/>
      <c r="AM98" s="24"/>
    </row>
    <row r="99" ht="15.75" customHeight="1">
      <c r="B99" s="18"/>
      <c r="C99" s="18"/>
      <c r="D99" s="18"/>
      <c r="E99" s="18"/>
      <c r="F99" s="18"/>
      <c r="G99" s="19"/>
      <c r="H99" s="27"/>
      <c r="I99" s="27"/>
      <c r="J99" s="27"/>
      <c r="K99" s="27"/>
      <c r="L99" s="27"/>
      <c r="M99" s="21"/>
      <c r="N99" s="27"/>
      <c r="O99" s="27"/>
      <c r="P99" s="27"/>
      <c r="Q99" s="27"/>
      <c r="R99" s="27"/>
      <c r="S99" s="21"/>
      <c r="T99" s="28"/>
      <c r="U99" s="28"/>
      <c r="V99" s="28"/>
      <c r="W99" s="28"/>
      <c r="X99" s="28"/>
      <c r="Y99" s="19"/>
      <c r="Z99" s="18"/>
      <c r="AE99" s="19"/>
      <c r="AH99" s="24"/>
      <c r="AI99" s="30"/>
      <c r="AJ99" s="30"/>
      <c r="AK99" s="30"/>
      <c r="AL99" s="24"/>
      <c r="AM99" s="24"/>
    </row>
    <row r="100" ht="15.75" customHeight="1">
      <c r="B100" s="18"/>
      <c r="C100" s="18"/>
      <c r="D100" s="18"/>
      <c r="E100" s="18"/>
      <c r="F100" s="18"/>
      <c r="G100" s="19"/>
      <c r="H100" s="27"/>
      <c r="I100" s="27"/>
      <c r="J100" s="27"/>
      <c r="K100" s="27"/>
      <c r="L100" s="27"/>
      <c r="M100" s="21"/>
      <c r="N100" s="27"/>
      <c r="O100" s="27"/>
      <c r="P100" s="27"/>
      <c r="Q100" s="27"/>
      <c r="R100" s="27"/>
      <c r="S100" s="21"/>
      <c r="T100" s="28"/>
      <c r="U100" s="28"/>
      <c r="V100" s="28"/>
      <c r="W100" s="28"/>
      <c r="X100" s="28"/>
      <c r="Y100" s="19"/>
      <c r="Z100" s="18"/>
      <c r="AE100" s="19"/>
      <c r="AH100" s="24"/>
      <c r="AI100" s="30"/>
      <c r="AJ100" s="30"/>
      <c r="AK100" s="30"/>
      <c r="AL100" s="24"/>
      <c r="AM100" s="24"/>
    </row>
    <row r="101" ht="15.75" customHeight="1">
      <c r="B101" s="18"/>
      <c r="C101" s="18"/>
      <c r="D101" s="18"/>
      <c r="E101" s="18"/>
      <c r="F101" s="18"/>
      <c r="G101" s="19"/>
      <c r="H101" s="27"/>
      <c r="I101" s="27"/>
      <c r="J101" s="27"/>
      <c r="K101" s="27"/>
      <c r="L101" s="27"/>
      <c r="M101" s="21"/>
      <c r="N101" s="27"/>
      <c r="O101" s="27"/>
      <c r="P101" s="27"/>
      <c r="Q101" s="27"/>
      <c r="R101" s="27"/>
      <c r="S101" s="21"/>
      <c r="T101" s="28"/>
      <c r="U101" s="28"/>
      <c r="V101" s="28"/>
      <c r="W101" s="28"/>
      <c r="X101" s="28"/>
      <c r="Y101" s="19"/>
      <c r="Z101" s="18"/>
      <c r="AE101" s="19"/>
      <c r="AH101" s="24"/>
      <c r="AI101" s="30"/>
      <c r="AJ101" s="30"/>
      <c r="AK101" s="30"/>
      <c r="AL101" s="24"/>
      <c r="AM101" s="24"/>
    </row>
    <row r="102" ht="15.75" customHeight="1">
      <c r="B102" s="18"/>
      <c r="C102" s="18"/>
      <c r="D102" s="18"/>
      <c r="E102" s="18"/>
      <c r="F102" s="18"/>
      <c r="G102" s="19"/>
      <c r="H102" s="27"/>
      <c r="I102" s="27"/>
      <c r="J102" s="27"/>
      <c r="K102" s="27"/>
      <c r="L102" s="27"/>
      <c r="M102" s="21"/>
      <c r="N102" s="27"/>
      <c r="O102" s="27"/>
      <c r="P102" s="27"/>
      <c r="Q102" s="27"/>
      <c r="R102" s="27"/>
      <c r="S102" s="21"/>
      <c r="T102" s="28"/>
      <c r="U102" s="28"/>
      <c r="V102" s="28"/>
      <c r="W102" s="28"/>
      <c r="X102" s="28"/>
      <c r="Y102" s="19"/>
      <c r="Z102" s="18"/>
      <c r="AE102" s="19"/>
      <c r="AH102" s="24"/>
      <c r="AI102" s="30"/>
      <c r="AJ102" s="30"/>
      <c r="AK102" s="30"/>
      <c r="AL102" s="24"/>
      <c r="AM102" s="24"/>
    </row>
    <row r="103" ht="15.75" customHeight="1">
      <c r="B103" s="18"/>
      <c r="C103" s="18"/>
      <c r="D103" s="18"/>
      <c r="E103" s="18"/>
      <c r="F103" s="18"/>
      <c r="G103" s="19"/>
      <c r="H103" s="27"/>
      <c r="I103" s="27"/>
      <c r="J103" s="27"/>
      <c r="K103" s="27"/>
      <c r="L103" s="27"/>
      <c r="M103" s="21"/>
      <c r="N103" s="27"/>
      <c r="O103" s="27"/>
      <c r="P103" s="27"/>
      <c r="Q103" s="27"/>
      <c r="R103" s="27"/>
      <c r="S103" s="21"/>
      <c r="T103" s="28"/>
      <c r="U103" s="28"/>
      <c r="V103" s="28"/>
      <c r="W103" s="28"/>
      <c r="X103" s="28"/>
      <c r="Y103" s="19"/>
      <c r="Z103" s="18"/>
      <c r="AE103" s="19"/>
      <c r="AH103" s="24"/>
      <c r="AI103" s="30"/>
      <c r="AJ103" s="30"/>
      <c r="AK103" s="30"/>
      <c r="AL103" s="24"/>
      <c r="AM103" s="24"/>
    </row>
    <row r="104" ht="15.75" customHeight="1">
      <c r="B104" s="18"/>
      <c r="C104" s="18"/>
      <c r="D104" s="18"/>
      <c r="E104" s="18"/>
      <c r="F104" s="18"/>
      <c r="G104" s="19"/>
      <c r="H104" s="27"/>
      <c r="I104" s="27"/>
      <c r="J104" s="27"/>
      <c r="K104" s="27"/>
      <c r="L104" s="27"/>
      <c r="M104" s="21"/>
      <c r="N104" s="27"/>
      <c r="O104" s="27"/>
      <c r="P104" s="27"/>
      <c r="Q104" s="27"/>
      <c r="R104" s="27"/>
      <c r="S104" s="21"/>
      <c r="T104" s="28"/>
      <c r="U104" s="28"/>
      <c r="V104" s="28"/>
      <c r="W104" s="28"/>
      <c r="X104" s="28"/>
      <c r="Y104" s="19"/>
      <c r="Z104" s="18"/>
      <c r="AE104" s="19"/>
      <c r="AH104" s="24"/>
      <c r="AI104" s="30"/>
      <c r="AJ104" s="30"/>
      <c r="AK104" s="30"/>
      <c r="AL104" s="24"/>
      <c r="AM104" s="24"/>
    </row>
    <row r="105" ht="15.75" customHeight="1">
      <c r="B105" s="18"/>
      <c r="C105" s="18"/>
      <c r="D105" s="18"/>
      <c r="E105" s="18"/>
      <c r="F105" s="18"/>
      <c r="G105" s="19"/>
      <c r="H105" s="27"/>
      <c r="I105" s="27"/>
      <c r="J105" s="27"/>
      <c r="K105" s="27"/>
      <c r="L105" s="27"/>
      <c r="M105" s="21"/>
      <c r="N105" s="27"/>
      <c r="O105" s="27"/>
      <c r="P105" s="27"/>
      <c r="Q105" s="27"/>
      <c r="R105" s="27"/>
      <c r="S105" s="21"/>
      <c r="T105" s="28"/>
      <c r="U105" s="28"/>
      <c r="V105" s="28"/>
      <c r="W105" s="28"/>
      <c r="X105" s="28"/>
      <c r="Y105" s="19"/>
      <c r="Z105" s="18"/>
      <c r="AE105" s="19"/>
      <c r="AH105" s="24"/>
      <c r="AI105" s="30"/>
      <c r="AJ105" s="30"/>
      <c r="AK105" s="30"/>
      <c r="AL105" s="24"/>
      <c r="AM105" s="24"/>
    </row>
    <row r="106" ht="15.75" customHeight="1">
      <c r="B106" s="18"/>
      <c r="C106" s="18"/>
      <c r="D106" s="18"/>
      <c r="E106" s="18"/>
      <c r="F106" s="18"/>
      <c r="G106" s="19"/>
      <c r="H106" s="27"/>
      <c r="I106" s="27"/>
      <c r="J106" s="27"/>
      <c r="K106" s="27"/>
      <c r="L106" s="27"/>
      <c r="M106" s="21"/>
      <c r="N106" s="27"/>
      <c r="O106" s="27"/>
      <c r="P106" s="27"/>
      <c r="Q106" s="27"/>
      <c r="R106" s="27"/>
      <c r="S106" s="21"/>
      <c r="T106" s="28"/>
      <c r="U106" s="28"/>
      <c r="V106" s="28"/>
      <c r="W106" s="28"/>
      <c r="X106" s="28"/>
      <c r="Y106" s="19"/>
      <c r="Z106" s="18"/>
      <c r="AE106" s="19"/>
      <c r="AH106" s="24"/>
      <c r="AI106" s="30"/>
      <c r="AJ106" s="30"/>
      <c r="AK106" s="30"/>
      <c r="AL106" s="24"/>
      <c r="AM106" s="24"/>
    </row>
    <row r="107" ht="15.75" customHeight="1">
      <c r="B107" s="18"/>
      <c r="C107" s="18"/>
      <c r="D107" s="18"/>
      <c r="E107" s="18"/>
      <c r="F107" s="18"/>
      <c r="G107" s="19"/>
      <c r="H107" s="27"/>
      <c r="I107" s="27"/>
      <c r="J107" s="27"/>
      <c r="K107" s="27"/>
      <c r="L107" s="27"/>
      <c r="M107" s="21"/>
      <c r="N107" s="27"/>
      <c r="O107" s="27"/>
      <c r="P107" s="27"/>
      <c r="Q107" s="27"/>
      <c r="R107" s="27"/>
      <c r="S107" s="21"/>
      <c r="T107" s="28"/>
      <c r="U107" s="28"/>
      <c r="V107" s="28"/>
      <c r="W107" s="28"/>
      <c r="X107" s="28"/>
      <c r="Y107" s="19"/>
      <c r="Z107" s="18"/>
      <c r="AE107" s="19"/>
      <c r="AH107" s="24"/>
      <c r="AI107" s="30"/>
      <c r="AJ107" s="30"/>
      <c r="AK107" s="30"/>
      <c r="AL107" s="24"/>
      <c r="AM107" s="24"/>
    </row>
    <row r="108" ht="15.75" customHeight="1">
      <c r="B108" s="18"/>
      <c r="C108" s="18"/>
      <c r="D108" s="18"/>
      <c r="E108" s="18"/>
      <c r="F108" s="18"/>
      <c r="G108" s="19"/>
      <c r="H108" s="27"/>
      <c r="I108" s="27"/>
      <c r="J108" s="27"/>
      <c r="K108" s="27"/>
      <c r="L108" s="27"/>
      <c r="M108" s="21"/>
      <c r="N108" s="27"/>
      <c r="O108" s="27"/>
      <c r="P108" s="27"/>
      <c r="Q108" s="27"/>
      <c r="R108" s="27"/>
      <c r="S108" s="21"/>
      <c r="T108" s="28"/>
      <c r="U108" s="28"/>
      <c r="V108" s="28"/>
      <c r="W108" s="28"/>
      <c r="X108" s="28"/>
      <c r="Y108" s="19"/>
      <c r="Z108" s="18"/>
      <c r="AE108" s="19"/>
      <c r="AH108" s="24"/>
      <c r="AI108" s="30"/>
      <c r="AJ108" s="30"/>
      <c r="AK108" s="30"/>
      <c r="AL108" s="24"/>
      <c r="AM108" s="24"/>
    </row>
    <row r="109" ht="15.75" customHeight="1">
      <c r="B109" s="18"/>
      <c r="C109" s="18"/>
      <c r="D109" s="18"/>
      <c r="E109" s="18"/>
      <c r="F109" s="18"/>
      <c r="G109" s="19"/>
      <c r="H109" s="27"/>
      <c r="I109" s="27"/>
      <c r="J109" s="27"/>
      <c r="K109" s="27"/>
      <c r="L109" s="27"/>
      <c r="M109" s="21"/>
      <c r="N109" s="27"/>
      <c r="O109" s="27"/>
      <c r="P109" s="27"/>
      <c r="Q109" s="27"/>
      <c r="R109" s="27"/>
      <c r="S109" s="21"/>
      <c r="T109" s="28"/>
      <c r="U109" s="28"/>
      <c r="V109" s="28"/>
      <c r="W109" s="28"/>
      <c r="X109" s="28"/>
      <c r="Y109" s="19"/>
      <c r="Z109" s="18"/>
      <c r="AE109" s="19"/>
      <c r="AH109" s="24"/>
      <c r="AI109" s="30"/>
      <c r="AJ109" s="30"/>
      <c r="AK109" s="30"/>
      <c r="AL109" s="24"/>
      <c r="AM109" s="24"/>
    </row>
    <row r="110" ht="15.75" customHeight="1">
      <c r="B110" s="18"/>
      <c r="C110" s="18"/>
      <c r="D110" s="18"/>
      <c r="E110" s="18"/>
      <c r="F110" s="18"/>
      <c r="G110" s="19"/>
      <c r="H110" s="27"/>
      <c r="I110" s="27"/>
      <c r="J110" s="27"/>
      <c r="K110" s="27"/>
      <c r="L110" s="27"/>
      <c r="M110" s="21"/>
      <c r="N110" s="27"/>
      <c r="O110" s="27"/>
      <c r="P110" s="27"/>
      <c r="Q110" s="27"/>
      <c r="R110" s="27"/>
      <c r="S110" s="21"/>
      <c r="T110" s="28"/>
      <c r="U110" s="28"/>
      <c r="V110" s="28"/>
      <c r="W110" s="28"/>
      <c r="X110" s="28"/>
      <c r="Y110" s="19"/>
      <c r="Z110" s="18"/>
      <c r="AE110" s="19"/>
      <c r="AH110" s="24"/>
      <c r="AI110" s="30"/>
      <c r="AJ110" s="30"/>
      <c r="AK110" s="30"/>
      <c r="AL110" s="24"/>
      <c r="AM110" s="24"/>
    </row>
    <row r="111" ht="15.75" customHeight="1">
      <c r="B111" s="18"/>
      <c r="C111" s="18"/>
      <c r="D111" s="18"/>
      <c r="E111" s="18"/>
      <c r="F111" s="18"/>
      <c r="G111" s="19"/>
      <c r="H111" s="27"/>
      <c r="I111" s="27"/>
      <c r="J111" s="27"/>
      <c r="K111" s="27"/>
      <c r="L111" s="27"/>
      <c r="M111" s="21"/>
      <c r="N111" s="27"/>
      <c r="O111" s="27"/>
      <c r="P111" s="27"/>
      <c r="Q111" s="27"/>
      <c r="R111" s="27"/>
      <c r="S111" s="21"/>
      <c r="T111" s="28"/>
      <c r="U111" s="28"/>
      <c r="V111" s="28"/>
      <c r="W111" s="28"/>
      <c r="X111" s="28"/>
      <c r="Y111" s="19"/>
      <c r="Z111" s="18"/>
      <c r="AE111" s="19"/>
      <c r="AH111" s="24"/>
      <c r="AI111" s="30"/>
      <c r="AJ111" s="30"/>
      <c r="AK111" s="30"/>
      <c r="AL111" s="24"/>
      <c r="AM111" s="24"/>
    </row>
    <row r="112" ht="15.75" customHeight="1">
      <c r="B112" s="18"/>
      <c r="C112" s="18"/>
      <c r="D112" s="18"/>
      <c r="E112" s="18"/>
      <c r="F112" s="18"/>
      <c r="G112" s="19"/>
      <c r="H112" s="27"/>
      <c r="I112" s="27"/>
      <c r="J112" s="27"/>
      <c r="K112" s="27"/>
      <c r="L112" s="27"/>
      <c r="M112" s="21"/>
      <c r="N112" s="27"/>
      <c r="O112" s="27"/>
      <c r="P112" s="27"/>
      <c r="Q112" s="27"/>
      <c r="R112" s="27"/>
      <c r="S112" s="21"/>
      <c r="T112" s="28"/>
      <c r="U112" s="28"/>
      <c r="V112" s="28"/>
      <c r="W112" s="28"/>
      <c r="X112" s="28"/>
      <c r="Y112" s="19"/>
      <c r="Z112" s="18"/>
      <c r="AE112" s="19"/>
      <c r="AH112" s="24"/>
      <c r="AI112" s="30"/>
      <c r="AJ112" s="30"/>
      <c r="AK112" s="30"/>
      <c r="AL112" s="24"/>
      <c r="AM112" s="24"/>
    </row>
    <row r="113" ht="15.75" customHeight="1">
      <c r="B113" s="18"/>
      <c r="C113" s="18"/>
      <c r="D113" s="18"/>
      <c r="E113" s="18"/>
      <c r="F113" s="18"/>
      <c r="G113" s="19"/>
      <c r="H113" s="27"/>
      <c r="I113" s="27"/>
      <c r="J113" s="27"/>
      <c r="K113" s="27"/>
      <c r="L113" s="27"/>
      <c r="M113" s="21"/>
      <c r="N113" s="27"/>
      <c r="O113" s="27"/>
      <c r="P113" s="27"/>
      <c r="Q113" s="27"/>
      <c r="R113" s="27"/>
      <c r="S113" s="21"/>
      <c r="T113" s="28"/>
      <c r="U113" s="28"/>
      <c r="V113" s="28"/>
      <c r="W113" s="28"/>
      <c r="X113" s="28"/>
      <c r="Y113" s="19"/>
      <c r="Z113" s="18"/>
      <c r="AE113" s="19"/>
      <c r="AH113" s="24"/>
      <c r="AI113" s="30"/>
      <c r="AJ113" s="30"/>
      <c r="AK113" s="30"/>
      <c r="AL113" s="24"/>
      <c r="AM113" s="24"/>
    </row>
    <row r="114" ht="15.75" customHeight="1">
      <c r="B114" s="18"/>
      <c r="C114" s="18"/>
      <c r="D114" s="18"/>
      <c r="E114" s="18"/>
      <c r="F114" s="18"/>
      <c r="G114" s="19"/>
      <c r="H114" s="27"/>
      <c r="I114" s="27"/>
      <c r="J114" s="27"/>
      <c r="K114" s="27"/>
      <c r="L114" s="27"/>
      <c r="M114" s="21"/>
      <c r="N114" s="27"/>
      <c r="O114" s="27"/>
      <c r="P114" s="27"/>
      <c r="Q114" s="27"/>
      <c r="R114" s="27"/>
      <c r="S114" s="21"/>
      <c r="T114" s="28"/>
      <c r="U114" s="28"/>
      <c r="V114" s="28"/>
      <c r="W114" s="28"/>
      <c r="X114" s="28"/>
      <c r="Y114" s="19"/>
      <c r="Z114" s="18"/>
      <c r="AE114" s="19"/>
      <c r="AH114" s="24"/>
      <c r="AI114" s="30"/>
      <c r="AJ114" s="30"/>
      <c r="AK114" s="30"/>
      <c r="AL114" s="24"/>
      <c r="AM114" s="24"/>
    </row>
    <row r="115" ht="15.75" customHeight="1">
      <c r="B115" s="18"/>
      <c r="C115" s="18"/>
      <c r="D115" s="18"/>
      <c r="E115" s="18"/>
      <c r="F115" s="18"/>
      <c r="G115" s="19"/>
      <c r="H115" s="27"/>
      <c r="I115" s="27"/>
      <c r="J115" s="27"/>
      <c r="K115" s="27"/>
      <c r="L115" s="27"/>
      <c r="M115" s="21"/>
      <c r="N115" s="27"/>
      <c r="O115" s="27"/>
      <c r="P115" s="27"/>
      <c r="Q115" s="27"/>
      <c r="R115" s="27"/>
      <c r="S115" s="21"/>
      <c r="T115" s="28"/>
      <c r="U115" s="28"/>
      <c r="V115" s="28"/>
      <c r="W115" s="28"/>
      <c r="X115" s="28"/>
      <c r="Y115" s="19"/>
      <c r="Z115" s="18"/>
      <c r="AE115" s="19"/>
      <c r="AH115" s="24"/>
      <c r="AI115" s="30"/>
      <c r="AJ115" s="30"/>
      <c r="AK115" s="30"/>
      <c r="AL115" s="24"/>
      <c r="AM115" s="24"/>
    </row>
    <row r="116" ht="15.75" customHeight="1">
      <c r="B116" s="18"/>
      <c r="C116" s="18"/>
      <c r="D116" s="18"/>
      <c r="E116" s="18"/>
      <c r="F116" s="18"/>
      <c r="G116" s="19"/>
      <c r="H116" s="27"/>
      <c r="I116" s="27"/>
      <c r="J116" s="27"/>
      <c r="K116" s="27"/>
      <c r="L116" s="27"/>
      <c r="M116" s="21"/>
      <c r="N116" s="27"/>
      <c r="O116" s="27"/>
      <c r="P116" s="27"/>
      <c r="Q116" s="27"/>
      <c r="R116" s="27"/>
      <c r="S116" s="21"/>
      <c r="T116" s="28"/>
      <c r="U116" s="28"/>
      <c r="V116" s="28"/>
      <c r="W116" s="28"/>
      <c r="X116" s="28"/>
      <c r="Y116" s="19"/>
      <c r="Z116" s="18"/>
      <c r="AE116" s="19"/>
      <c r="AH116" s="24"/>
      <c r="AI116" s="30"/>
      <c r="AJ116" s="30"/>
      <c r="AK116" s="30"/>
      <c r="AL116" s="24"/>
      <c r="AM116" s="24"/>
    </row>
    <row r="117" ht="15.75" customHeight="1">
      <c r="B117" s="18"/>
      <c r="C117" s="18"/>
      <c r="D117" s="18"/>
      <c r="E117" s="18"/>
      <c r="F117" s="18"/>
      <c r="G117" s="19"/>
      <c r="H117" s="27"/>
      <c r="I117" s="27"/>
      <c r="J117" s="27"/>
      <c r="K117" s="27"/>
      <c r="L117" s="27"/>
      <c r="M117" s="21"/>
      <c r="N117" s="27"/>
      <c r="O117" s="27"/>
      <c r="P117" s="27"/>
      <c r="Q117" s="27"/>
      <c r="R117" s="27"/>
      <c r="S117" s="21"/>
      <c r="T117" s="28"/>
      <c r="U117" s="28"/>
      <c r="V117" s="28"/>
      <c r="W117" s="28"/>
      <c r="X117" s="28"/>
      <c r="Y117" s="19"/>
      <c r="Z117" s="18"/>
      <c r="AE117" s="19"/>
      <c r="AH117" s="24"/>
      <c r="AI117" s="30"/>
      <c r="AJ117" s="30"/>
      <c r="AK117" s="30"/>
      <c r="AL117" s="24"/>
      <c r="AM117" s="24"/>
    </row>
    <row r="118" ht="15.75" customHeight="1">
      <c r="B118" s="18"/>
      <c r="C118" s="18"/>
      <c r="D118" s="18"/>
      <c r="E118" s="18"/>
      <c r="F118" s="18"/>
      <c r="G118" s="19"/>
      <c r="H118" s="27"/>
      <c r="I118" s="27"/>
      <c r="J118" s="27"/>
      <c r="K118" s="27"/>
      <c r="L118" s="27"/>
      <c r="M118" s="21"/>
      <c r="N118" s="27"/>
      <c r="O118" s="27"/>
      <c r="P118" s="27"/>
      <c r="Q118" s="27"/>
      <c r="R118" s="27"/>
      <c r="S118" s="21"/>
      <c r="T118" s="28"/>
      <c r="U118" s="28"/>
      <c r="V118" s="28"/>
      <c r="W118" s="28"/>
      <c r="X118" s="28"/>
      <c r="Y118" s="19"/>
      <c r="Z118" s="18"/>
      <c r="AE118" s="19"/>
      <c r="AH118" s="24"/>
      <c r="AI118" s="30"/>
      <c r="AJ118" s="30"/>
      <c r="AK118" s="30"/>
      <c r="AL118" s="24"/>
      <c r="AM118" s="24"/>
    </row>
    <row r="119" ht="15.75" customHeight="1">
      <c r="B119" s="18"/>
      <c r="C119" s="18"/>
      <c r="D119" s="18"/>
      <c r="E119" s="18"/>
      <c r="F119" s="18"/>
      <c r="G119" s="19"/>
      <c r="H119" s="27"/>
      <c r="I119" s="27"/>
      <c r="J119" s="27"/>
      <c r="K119" s="27"/>
      <c r="L119" s="27"/>
      <c r="M119" s="21"/>
      <c r="N119" s="27"/>
      <c r="O119" s="27"/>
      <c r="P119" s="27"/>
      <c r="Q119" s="27"/>
      <c r="R119" s="27"/>
      <c r="S119" s="21"/>
      <c r="T119" s="28"/>
      <c r="U119" s="28"/>
      <c r="V119" s="28"/>
      <c r="W119" s="28"/>
      <c r="X119" s="28"/>
      <c r="Y119" s="19"/>
      <c r="Z119" s="18"/>
      <c r="AE119" s="19"/>
      <c r="AH119" s="24"/>
      <c r="AI119" s="30"/>
      <c r="AJ119" s="30"/>
      <c r="AK119" s="30"/>
      <c r="AL119" s="24"/>
      <c r="AM119" s="24"/>
    </row>
    <row r="120" ht="15.75" customHeight="1">
      <c r="B120" s="18"/>
      <c r="C120" s="18"/>
      <c r="D120" s="18"/>
      <c r="E120" s="18"/>
      <c r="F120" s="18"/>
      <c r="G120" s="19"/>
      <c r="H120" s="27"/>
      <c r="I120" s="27"/>
      <c r="J120" s="27"/>
      <c r="K120" s="27"/>
      <c r="L120" s="27"/>
      <c r="M120" s="21"/>
      <c r="N120" s="27"/>
      <c r="O120" s="27"/>
      <c r="P120" s="27"/>
      <c r="Q120" s="27"/>
      <c r="R120" s="27"/>
      <c r="S120" s="21"/>
      <c r="T120" s="28"/>
      <c r="U120" s="28"/>
      <c r="V120" s="28"/>
      <c r="W120" s="28"/>
      <c r="X120" s="28"/>
      <c r="Y120" s="19"/>
      <c r="Z120" s="18"/>
      <c r="AE120" s="19"/>
      <c r="AH120" s="24"/>
      <c r="AI120" s="30"/>
      <c r="AJ120" s="30"/>
      <c r="AK120" s="30"/>
      <c r="AL120" s="24"/>
      <c r="AM120" s="24"/>
    </row>
    <row r="121" ht="15.75" customHeight="1">
      <c r="B121" s="18"/>
      <c r="C121" s="18"/>
      <c r="D121" s="18"/>
      <c r="E121" s="18"/>
      <c r="F121" s="18"/>
      <c r="G121" s="19"/>
      <c r="H121" s="27"/>
      <c r="I121" s="27"/>
      <c r="J121" s="27"/>
      <c r="K121" s="27"/>
      <c r="L121" s="27"/>
      <c r="M121" s="21"/>
      <c r="N121" s="27"/>
      <c r="O121" s="27"/>
      <c r="P121" s="27"/>
      <c r="Q121" s="27"/>
      <c r="R121" s="27"/>
      <c r="S121" s="21"/>
      <c r="T121" s="28"/>
      <c r="U121" s="28"/>
      <c r="V121" s="28"/>
      <c r="W121" s="28"/>
      <c r="X121" s="28"/>
      <c r="Y121" s="19"/>
      <c r="Z121" s="18"/>
      <c r="AE121" s="19"/>
      <c r="AH121" s="24"/>
      <c r="AI121" s="30"/>
      <c r="AJ121" s="30"/>
      <c r="AK121" s="30"/>
      <c r="AL121" s="24"/>
      <c r="AM121" s="24"/>
    </row>
    <row r="122" ht="15.75" customHeight="1">
      <c r="B122" s="18"/>
      <c r="C122" s="18"/>
      <c r="D122" s="18"/>
      <c r="E122" s="18"/>
      <c r="F122" s="18"/>
      <c r="G122" s="19"/>
      <c r="H122" s="27"/>
      <c r="I122" s="27"/>
      <c r="J122" s="27"/>
      <c r="K122" s="27"/>
      <c r="L122" s="27"/>
      <c r="M122" s="21"/>
      <c r="N122" s="27"/>
      <c r="O122" s="27"/>
      <c r="P122" s="27"/>
      <c r="Q122" s="27"/>
      <c r="R122" s="27"/>
      <c r="S122" s="21"/>
      <c r="T122" s="28"/>
      <c r="U122" s="28"/>
      <c r="V122" s="28"/>
      <c r="W122" s="28"/>
      <c r="X122" s="28"/>
      <c r="Y122" s="19"/>
      <c r="Z122" s="18"/>
      <c r="AE122" s="19"/>
      <c r="AH122" s="24"/>
      <c r="AI122" s="30"/>
      <c r="AJ122" s="30"/>
      <c r="AK122" s="30"/>
      <c r="AL122" s="24"/>
      <c r="AM122" s="24"/>
    </row>
    <row r="123" ht="15.75" customHeight="1">
      <c r="B123" s="18"/>
      <c r="C123" s="18"/>
      <c r="D123" s="18"/>
      <c r="E123" s="18"/>
      <c r="F123" s="18"/>
      <c r="G123" s="19"/>
      <c r="H123" s="27"/>
      <c r="I123" s="27"/>
      <c r="J123" s="27"/>
      <c r="K123" s="27"/>
      <c r="L123" s="27"/>
      <c r="M123" s="21"/>
      <c r="N123" s="27"/>
      <c r="O123" s="27"/>
      <c r="P123" s="27"/>
      <c r="Q123" s="27"/>
      <c r="R123" s="27"/>
      <c r="S123" s="21"/>
      <c r="T123" s="28"/>
      <c r="U123" s="28"/>
      <c r="V123" s="28"/>
      <c r="W123" s="28"/>
      <c r="X123" s="28"/>
      <c r="Y123" s="19"/>
      <c r="Z123" s="18"/>
      <c r="AE123" s="19"/>
      <c r="AH123" s="24"/>
      <c r="AI123" s="30"/>
      <c r="AJ123" s="30"/>
      <c r="AK123" s="30"/>
      <c r="AL123" s="24"/>
      <c r="AM123" s="24"/>
    </row>
    <row r="124" ht="15.75" customHeight="1">
      <c r="B124" s="18"/>
      <c r="C124" s="18"/>
      <c r="D124" s="18"/>
      <c r="E124" s="18"/>
      <c r="F124" s="18"/>
      <c r="G124" s="19"/>
      <c r="H124" s="27"/>
      <c r="I124" s="27"/>
      <c r="J124" s="27"/>
      <c r="K124" s="27"/>
      <c r="L124" s="27"/>
      <c r="M124" s="21"/>
      <c r="N124" s="27"/>
      <c r="O124" s="27"/>
      <c r="P124" s="27"/>
      <c r="Q124" s="27"/>
      <c r="R124" s="27"/>
      <c r="S124" s="21"/>
      <c r="T124" s="28"/>
      <c r="U124" s="28"/>
      <c r="V124" s="28"/>
      <c r="W124" s="28"/>
      <c r="X124" s="28"/>
      <c r="Y124" s="19"/>
      <c r="Z124" s="18"/>
      <c r="AE124" s="19"/>
      <c r="AH124" s="24"/>
      <c r="AI124" s="30"/>
      <c r="AJ124" s="30"/>
      <c r="AK124" s="30"/>
      <c r="AL124" s="24"/>
      <c r="AM124" s="24"/>
    </row>
    <row r="125" ht="15.75" customHeight="1">
      <c r="B125" s="18"/>
      <c r="C125" s="18"/>
      <c r="D125" s="18"/>
      <c r="E125" s="18"/>
      <c r="F125" s="18"/>
      <c r="G125" s="19"/>
      <c r="H125" s="27"/>
      <c r="I125" s="27"/>
      <c r="J125" s="27"/>
      <c r="K125" s="27"/>
      <c r="L125" s="27"/>
      <c r="M125" s="21"/>
      <c r="N125" s="27"/>
      <c r="O125" s="27"/>
      <c r="P125" s="27"/>
      <c r="Q125" s="27"/>
      <c r="R125" s="27"/>
      <c r="S125" s="21"/>
      <c r="T125" s="28"/>
      <c r="U125" s="28"/>
      <c r="V125" s="28"/>
      <c r="W125" s="28"/>
      <c r="X125" s="28"/>
      <c r="Y125" s="19"/>
      <c r="Z125" s="18"/>
      <c r="AE125" s="19"/>
      <c r="AH125" s="24"/>
      <c r="AI125" s="30"/>
      <c r="AJ125" s="30"/>
      <c r="AK125" s="30"/>
      <c r="AL125" s="24"/>
      <c r="AM125" s="24"/>
    </row>
    <row r="126" ht="15.75" customHeight="1">
      <c r="B126" s="18"/>
      <c r="C126" s="18"/>
      <c r="D126" s="18"/>
      <c r="E126" s="18"/>
      <c r="F126" s="18"/>
      <c r="G126" s="19"/>
      <c r="H126" s="27"/>
      <c r="I126" s="27"/>
      <c r="J126" s="27"/>
      <c r="K126" s="27"/>
      <c r="L126" s="27"/>
      <c r="M126" s="21"/>
      <c r="N126" s="27"/>
      <c r="O126" s="27"/>
      <c r="P126" s="27"/>
      <c r="Q126" s="27"/>
      <c r="R126" s="27"/>
      <c r="S126" s="21"/>
      <c r="T126" s="28"/>
      <c r="U126" s="28"/>
      <c r="V126" s="28"/>
      <c r="W126" s="28"/>
      <c r="X126" s="28"/>
      <c r="Y126" s="19"/>
      <c r="Z126" s="18"/>
      <c r="AE126" s="19"/>
      <c r="AH126" s="24"/>
      <c r="AI126" s="30"/>
      <c r="AJ126" s="30"/>
      <c r="AK126" s="30"/>
      <c r="AL126" s="24"/>
      <c r="AM126" s="24"/>
    </row>
    <row r="127" ht="15.75" customHeight="1">
      <c r="B127" s="18"/>
      <c r="C127" s="18"/>
      <c r="D127" s="18"/>
      <c r="E127" s="18"/>
      <c r="F127" s="18"/>
      <c r="G127" s="19"/>
      <c r="H127" s="27"/>
      <c r="I127" s="27"/>
      <c r="J127" s="27"/>
      <c r="K127" s="27"/>
      <c r="L127" s="27"/>
      <c r="M127" s="21"/>
      <c r="N127" s="27"/>
      <c r="O127" s="27"/>
      <c r="P127" s="27"/>
      <c r="Q127" s="27"/>
      <c r="R127" s="27"/>
      <c r="S127" s="21"/>
      <c r="T127" s="28"/>
      <c r="U127" s="28"/>
      <c r="V127" s="28"/>
      <c r="W127" s="28"/>
      <c r="X127" s="28"/>
      <c r="Y127" s="19"/>
      <c r="Z127" s="18"/>
      <c r="AE127" s="19"/>
      <c r="AH127" s="24"/>
      <c r="AI127" s="30"/>
      <c r="AJ127" s="30"/>
      <c r="AK127" s="30"/>
      <c r="AL127" s="24"/>
      <c r="AM127" s="24"/>
    </row>
    <row r="128" ht="15.75" customHeight="1">
      <c r="B128" s="18"/>
      <c r="C128" s="18"/>
      <c r="D128" s="18"/>
      <c r="E128" s="18"/>
      <c r="F128" s="18"/>
      <c r="G128" s="19"/>
      <c r="H128" s="27"/>
      <c r="I128" s="27"/>
      <c r="J128" s="27"/>
      <c r="K128" s="27"/>
      <c r="L128" s="27"/>
      <c r="M128" s="21"/>
      <c r="N128" s="27"/>
      <c r="O128" s="27"/>
      <c r="P128" s="27"/>
      <c r="Q128" s="27"/>
      <c r="R128" s="27"/>
      <c r="S128" s="21"/>
      <c r="T128" s="28"/>
      <c r="U128" s="28"/>
      <c r="V128" s="28"/>
      <c r="W128" s="28"/>
      <c r="X128" s="28"/>
      <c r="Y128" s="19"/>
      <c r="Z128" s="18"/>
      <c r="AE128" s="19"/>
      <c r="AH128" s="24"/>
      <c r="AI128" s="30"/>
      <c r="AJ128" s="30"/>
      <c r="AK128" s="30"/>
      <c r="AL128" s="24"/>
      <c r="AM128" s="24"/>
    </row>
    <row r="129" ht="15.75" customHeight="1">
      <c r="B129" s="18"/>
      <c r="C129" s="18"/>
      <c r="D129" s="18"/>
      <c r="E129" s="18"/>
      <c r="F129" s="18"/>
      <c r="G129" s="19"/>
      <c r="H129" s="27"/>
      <c r="I129" s="27"/>
      <c r="J129" s="27"/>
      <c r="K129" s="27"/>
      <c r="L129" s="27"/>
      <c r="M129" s="21"/>
      <c r="N129" s="27"/>
      <c r="O129" s="27"/>
      <c r="P129" s="27"/>
      <c r="Q129" s="27"/>
      <c r="R129" s="27"/>
      <c r="S129" s="21"/>
      <c r="T129" s="28"/>
      <c r="U129" s="28"/>
      <c r="V129" s="28"/>
      <c r="W129" s="28"/>
      <c r="X129" s="28"/>
      <c r="Y129" s="19"/>
      <c r="Z129" s="18"/>
      <c r="AE129" s="19"/>
      <c r="AH129" s="24"/>
      <c r="AI129" s="30"/>
      <c r="AJ129" s="30"/>
      <c r="AK129" s="30"/>
      <c r="AL129" s="24"/>
      <c r="AM129" s="24"/>
    </row>
    <row r="130" ht="15.75" customHeight="1">
      <c r="B130" s="18"/>
      <c r="C130" s="18"/>
      <c r="D130" s="18"/>
      <c r="E130" s="18"/>
      <c r="F130" s="18"/>
      <c r="G130" s="19"/>
      <c r="H130" s="27"/>
      <c r="I130" s="27"/>
      <c r="J130" s="27"/>
      <c r="K130" s="27"/>
      <c r="L130" s="27"/>
      <c r="M130" s="21"/>
      <c r="N130" s="27"/>
      <c r="O130" s="27"/>
      <c r="P130" s="27"/>
      <c r="Q130" s="27"/>
      <c r="R130" s="27"/>
      <c r="S130" s="21"/>
      <c r="T130" s="28"/>
      <c r="U130" s="28"/>
      <c r="V130" s="28"/>
      <c r="W130" s="28"/>
      <c r="X130" s="28"/>
      <c r="Y130" s="19"/>
      <c r="Z130" s="18"/>
      <c r="AE130" s="19"/>
      <c r="AH130" s="24"/>
      <c r="AI130" s="30"/>
      <c r="AJ130" s="30"/>
      <c r="AK130" s="30"/>
      <c r="AL130" s="24"/>
      <c r="AM130" s="24"/>
    </row>
    <row r="131" ht="15.75" customHeight="1">
      <c r="B131" s="18"/>
      <c r="C131" s="18"/>
      <c r="D131" s="18"/>
      <c r="E131" s="18"/>
      <c r="F131" s="18"/>
      <c r="G131" s="19"/>
      <c r="H131" s="27"/>
      <c r="I131" s="27"/>
      <c r="J131" s="27"/>
      <c r="K131" s="27"/>
      <c r="L131" s="27"/>
      <c r="M131" s="21"/>
      <c r="N131" s="27"/>
      <c r="O131" s="27"/>
      <c r="P131" s="27"/>
      <c r="Q131" s="27"/>
      <c r="R131" s="27"/>
      <c r="S131" s="21"/>
      <c r="T131" s="28"/>
      <c r="U131" s="28"/>
      <c r="V131" s="28"/>
      <c r="W131" s="28"/>
      <c r="X131" s="28"/>
      <c r="Y131" s="19"/>
      <c r="Z131" s="18"/>
      <c r="AE131" s="19"/>
      <c r="AH131" s="24"/>
      <c r="AI131" s="30"/>
      <c r="AJ131" s="30"/>
      <c r="AK131" s="30"/>
      <c r="AL131" s="24"/>
      <c r="AM131" s="24"/>
    </row>
    <row r="132" ht="15.75" customHeight="1">
      <c r="B132" s="18"/>
      <c r="C132" s="18"/>
      <c r="D132" s="18"/>
      <c r="E132" s="18"/>
      <c r="F132" s="18"/>
      <c r="G132" s="19"/>
      <c r="H132" s="27"/>
      <c r="I132" s="27"/>
      <c r="J132" s="27"/>
      <c r="K132" s="27"/>
      <c r="L132" s="27"/>
      <c r="M132" s="21"/>
      <c r="N132" s="27"/>
      <c r="O132" s="27"/>
      <c r="P132" s="27"/>
      <c r="Q132" s="27"/>
      <c r="R132" s="27"/>
      <c r="S132" s="21"/>
      <c r="T132" s="28"/>
      <c r="U132" s="28"/>
      <c r="V132" s="28"/>
      <c r="W132" s="28"/>
      <c r="X132" s="28"/>
      <c r="Y132" s="19"/>
      <c r="Z132" s="18"/>
      <c r="AE132" s="19"/>
      <c r="AH132" s="24"/>
      <c r="AI132" s="30"/>
      <c r="AJ132" s="30"/>
      <c r="AK132" s="30"/>
      <c r="AL132" s="24"/>
      <c r="AM132" s="24"/>
    </row>
    <row r="133" ht="15.75" customHeight="1">
      <c r="B133" s="18"/>
      <c r="C133" s="18"/>
      <c r="D133" s="18"/>
      <c r="E133" s="18"/>
      <c r="F133" s="18"/>
      <c r="G133" s="19"/>
      <c r="H133" s="27"/>
      <c r="I133" s="27"/>
      <c r="J133" s="27"/>
      <c r="K133" s="27"/>
      <c r="L133" s="27"/>
      <c r="M133" s="21"/>
      <c r="N133" s="27"/>
      <c r="O133" s="27"/>
      <c r="P133" s="27"/>
      <c r="Q133" s="27"/>
      <c r="R133" s="27"/>
      <c r="S133" s="21"/>
      <c r="T133" s="28"/>
      <c r="U133" s="28"/>
      <c r="V133" s="28"/>
      <c r="W133" s="28"/>
      <c r="X133" s="28"/>
      <c r="Y133" s="19"/>
      <c r="Z133" s="18"/>
      <c r="AE133" s="19"/>
      <c r="AH133" s="24"/>
      <c r="AI133" s="30"/>
      <c r="AJ133" s="30"/>
      <c r="AK133" s="30"/>
      <c r="AL133" s="24"/>
      <c r="AM133" s="24"/>
    </row>
    <row r="134" ht="15.75" customHeight="1">
      <c r="B134" s="18"/>
      <c r="C134" s="18"/>
      <c r="D134" s="18"/>
      <c r="E134" s="18"/>
      <c r="F134" s="18"/>
      <c r="G134" s="19"/>
      <c r="H134" s="27"/>
      <c r="I134" s="27"/>
      <c r="J134" s="27"/>
      <c r="K134" s="27"/>
      <c r="L134" s="27"/>
      <c r="M134" s="21"/>
      <c r="N134" s="27"/>
      <c r="O134" s="27"/>
      <c r="P134" s="27"/>
      <c r="Q134" s="27"/>
      <c r="R134" s="27"/>
      <c r="S134" s="21"/>
      <c r="T134" s="28"/>
      <c r="U134" s="28"/>
      <c r="V134" s="28"/>
      <c r="W134" s="28"/>
      <c r="X134" s="28"/>
      <c r="Y134" s="19"/>
      <c r="Z134" s="18"/>
      <c r="AE134" s="19"/>
      <c r="AH134" s="24"/>
      <c r="AI134" s="30"/>
      <c r="AJ134" s="30"/>
      <c r="AK134" s="30"/>
      <c r="AL134" s="24"/>
      <c r="AM134" s="24"/>
    </row>
    <row r="135" ht="15.75" customHeight="1">
      <c r="B135" s="18"/>
      <c r="C135" s="18"/>
      <c r="D135" s="18"/>
      <c r="E135" s="18"/>
      <c r="F135" s="18"/>
      <c r="G135" s="19"/>
      <c r="H135" s="27"/>
      <c r="I135" s="27"/>
      <c r="J135" s="27"/>
      <c r="K135" s="27"/>
      <c r="L135" s="27"/>
      <c r="M135" s="21"/>
      <c r="N135" s="27"/>
      <c r="O135" s="27"/>
      <c r="P135" s="27"/>
      <c r="Q135" s="27"/>
      <c r="R135" s="27"/>
      <c r="S135" s="21"/>
      <c r="T135" s="28"/>
      <c r="U135" s="28"/>
      <c r="V135" s="28"/>
      <c r="W135" s="28"/>
      <c r="X135" s="28"/>
      <c r="Y135" s="19"/>
      <c r="Z135" s="18"/>
      <c r="AE135" s="19"/>
      <c r="AH135" s="24"/>
      <c r="AI135" s="30"/>
      <c r="AJ135" s="30"/>
      <c r="AK135" s="30"/>
      <c r="AL135" s="24"/>
      <c r="AM135" s="24"/>
    </row>
    <row r="136" ht="15.75" customHeight="1">
      <c r="B136" s="18"/>
      <c r="C136" s="18"/>
      <c r="D136" s="18"/>
      <c r="E136" s="18"/>
      <c r="F136" s="18"/>
      <c r="G136" s="19"/>
      <c r="H136" s="27"/>
      <c r="I136" s="27"/>
      <c r="J136" s="27"/>
      <c r="K136" s="27"/>
      <c r="L136" s="27"/>
      <c r="M136" s="21"/>
      <c r="N136" s="27"/>
      <c r="O136" s="27"/>
      <c r="P136" s="27"/>
      <c r="Q136" s="27"/>
      <c r="R136" s="27"/>
      <c r="S136" s="21"/>
      <c r="T136" s="28"/>
      <c r="U136" s="28"/>
      <c r="V136" s="28"/>
      <c r="W136" s="28"/>
      <c r="X136" s="28"/>
      <c r="Y136" s="19"/>
      <c r="Z136" s="18"/>
      <c r="AE136" s="19"/>
      <c r="AH136" s="24"/>
      <c r="AI136" s="30"/>
      <c r="AJ136" s="30"/>
      <c r="AK136" s="30"/>
      <c r="AL136" s="24"/>
      <c r="AM136" s="24"/>
    </row>
    <row r="137" ht="15.75" customHeight="1">
      <c r="B137" s="18"/>
      <c r="C137" s="18"/>
      <c r="D137" s="18"/>
      <c r="E137" s="18"/>
      <c r="F137" s="18"/>
      <c r="G137" s="19"/>
      <c r="H137" s="27"/>
      <c r="I137" s="27"/>
      <c r="J137" s="27"/>
      <c r="K137" s="27"/>
      <c r="L137" s="27"/>
      <c r="M137" s="21"/>
      <c r="N137" s="27"/>
      <c r="O137" s="27"/>
      <c r="P137" s="27"/>
      <c r="Q137" s="27"/>
      <c r="R137" s="27"/>
      <c r="S137" s="21"/>
      <c r="T137" s="28"/>
      <c r="U137" s="28"/>
      <c r="V137" s="28"/>
      <c r="W137" s="28"/>
      <c r="X137" s="28"/>
      <c r="Y137" s="19"/>
      <c r="Z137" s="18"/>
      <c r="AE137" s="19"/>
      <c r="AH137" s="24"/>
      <c r="AI137" s="30"/>
      <c r="AJ137" s="30"/>
      <c r="AK137" s="30"/>
      <c r="AL137" s="24"/>
      <c r="AM137" s="24"/>
    </row>
    <row r="138" ht="15.75" customHeight="1">
      <c r="B138" s="18"/>
      <c r="C138" s="18"/>
      <c r="D138" s="18"/>
      <c r="E138" s="18"/>
      <c r="F138" s="18"/>
      <c r="G138" s="19"/>
      <c r="H138" s="27"/>
      <c r="I138" s="27"/>
      <c r="J138" s="27"/>
      <c r="K138" s="27"/>
      <c r="L138" s="27"/>
      <c r="M138" s="21"/>
      <c r="N138" s="27"/>
      <c r="O138" s="27"/>
      <c r="P138" s="27"/>
      <c r="Q138" s="27"/>
      <c r="R138" s="27"/>
      <c r="S138" s="21"/>
      <c r="T138" s="28"/>
      <c r="U138" s="28"/>
      <c r="V138" s="28"/>
      <c r="W138" s="28"/>
      <c r="X138" s="28"/>
      <c r="Y138" s="19"/>
      <c r="Z138" s="18"/>
      <c r="AE138" s="19"/>
      <c r="AH138" s="24"/>
      <c r="AI138" s="30"/>
      <c r="AJ138" s="30"/>
      <c r="AK138" s="30"/>
      <c r="AL138" s="24"/>
      <c r="AM138" s="24"/>
    </row>
    <row r="139" ht="15.75" customHeight="1">
      <c r="B139" s="18"/>
      <c r="C139" s="18"/>
      <c r="D139" s="18"/>
      <c r="E139" s="18"/>
      <c r="F139" s="18"/>
      <c r="G139" s="19"/>
      <c r="H139" s="27"/>
      <c r="I139" s="27"/>
      <c r="J139" s="27"/>
      <c r="K139" s="27"/>
      <c r="L139" s="27"/>
      <c r="M139" s="21"/>
      <c r="N139" s="27"/>
      <c r="O139" s="27"/>
      <c r="P139" s="27"/>
      <c r="Q139" s="27"/>
      <c r="R139" s="27"/>
      <c r="S139" s="21"/>
      <c r="T139" s="28"/>
      <c r="U139" s="28"/>
      <c r="V139" s="28"/>
      <c r="W139" s="28"/>
      <c r="X139" s="28"/>
      <c r="Y139" s="19"/>
      <c r="Z139" s="18"/>
      <c r="AE139" s="19"/>
      <c r="AH139" s="24"/>
      <c r="AI139" s="30"/>
      <c r="AJ139" s="30"/>
      <c r="AK139" s="30"/>
      <c r="AL139" s="24"/>
      <c r="AM139" s="24"/>
    </row>
    <row r="140" ht="15.75" customHeight="1">
      <c r="B140" s="18"/>
      <c r="C140" s="18"/>
      <c r="D140" s="18"/>
      <c r="E140" s="18"/>
      <c r="F140" s="18"/>
      <c r="G140" s="19"/>
      <c r="H140" s="27"/>
      <c r="I140" s="27"/>
      <c r="J140" s="27"/>
      <c r="K140" s="27"/>
      <c r="L140" s="27"/>
      <c r="M140" s="21"/>
      <c r="N140" s="27"/>
      <c r="O140" s="27"/>
      <c r="P140" s="27"/>
      <c r="Q140" s="27"/>
      <c r="R140" s="27"/>
      <c r="S140" s="21"/>
      <c r="T140" s="28"/>
      <c r="U140" s="28"/>
      <c r="V140" s="28"/>
      <c r="W140" s="28"/>
      <c r="X140" s="28"/>
      <c r="Y140" s="19"/>
      <c r="Z140" s="18"/>
      <c r="AE140" s="19"/>
      <c r="AH140" s="24"/>
      <c r="AI140" s="30"/>
      <c r="AJ140" s="30"/>
      <c r="AK140" s="30"/>
      <c r="AL140" s="24"/>
      <c r="AM140" s="24"/>
    </row>
    <row r="141" ht="15.75" customHeight="1">
      <c r="B141" s="18"/>
      <c r="C141" s="18"/>
      <c r="D141" s="18"/>
      <c r="E141" s="18"/>
      <c r="F141" s="18"/>
      <c r="G141" s="19"/>
      <c r="H141" s="27"/>
      <c r="I141" s="27"/>
      <c r="J141" s="27"/>
      <c r="K141" s="27"/>
      <c r="L141" s="27"/>
      <c r="M141" s="21"/>
      <c r="N141" s="27"/>
      <c r="O141" s="27"/>
      <c r="P141" s="27"/>
      <c r="Q141" s="27"/>
      <c r="R141" s="27"/>
      <c r="S141" s="21"/>
      <c r="T141" s="28"/>
      <c r="U141" s="28"/>
      <c r="V141" s="28"/>
      <c r="W141" s="28"/>
      <c r="X141" s="28"/>
      <c r="Y141" s="19"/>
      <c r="Z141" s="18"/>
      <c r="AE141" s="19"/>
      <c r="AH141" s="24"/>
      <c r="AI141" s="30"/>
      <c r="AJ141" s="30"/>
      <c r="AK141" s="30"/>
      <c r="AL141" s="24"/>
      <c r="AM141" s="24"/>
    </row>
    <row r="142" ht="15.75" customHeight="1">
      <c r="B142" s="18"/>
      <c r="C142" s="18"/>
      <c r="D142" s="18"/>
      <c r="E142" s="18"/>
      <c r="F142" s="18"/>
      <c r="G142" s="19"/>
      <c r="H142" s="27"/>
      <c r="I142" s="27"/>
      <c r="J142" s="27"/>
      <c r="K142" s="27"/>
      <c r="L142" s="27"/>
      <c r="M142" s="21"/>
      <c r="N142" s="27"/>
      <c r="O142" s="27"/>
      <c r="P142" s="27"/>
      <c r="Q142" s="27"/>
      <c r="R142" s="27"/>
      <c r="S142" s="21"/>
      <c r="T142" s="28"/>
      <c r="U142" s="28"/>
      <c r="V142" s="28"/>
      <c r="W142" s="28"/>
      <c r="X142" s="28"/>
      <c r="Y142" s="19"/>
      <c r="Z142" s="18"/>
      <c r="AE142" s="19"/>
      <c r="AH142" s="24"/>
      <c r="AI142" s="30"/>
      <c r="AJ142" s="30"/>
      <c r="AK142" s="30"/>
      <c r="AL142" s="24"/>
      <c r="AM142" s="24"/>
    </row>
    <row r="143" ht="15.75" customHeight="1">
      <c r="B143" s="18"/>
      <c r="C143" s="18"/>
      <c r="D143" s="18"/>
      <c r="E143" s="18"/>
      <c r="F143" s="18"/>
      <c r="G143" s="19"/>
      <c r="H143" s="27"/>
      <c r="I143" s="27"/>
      <c r="J143" s="27"/>
      <c r="K143" s="27"/>
      <c r="L143" s="27"/>
      <c r="M143" s="21"/>
      <c r="N143" s="27"/>
      <c r="O143" s="27"/>
      <c r="P143" s="27"/>
      <c r="Q143" s="27"/>
      <c r="R143" s="27"/>
      <c r="S143" s="21"/>
      <c r="T143" s="28"/>
      <c r="U143" s="28"/>
      <c r="V143" s="28"/>
      <c r="W143" s="28"/>
      <c r="X143" s="28"/>
      <c r="Y143" s="19"/>
      <c r="Z143" s="18"/>
      <c r="AE143" s="19"/>
      <c r="AH143" s="24"/>
      <c r="AI143" s="30"/>
      <c r="AJ143" s="30"/>
      <c r="AK143" s="30"/>
      <c r="AL143" s="24"/>
      <c r="AM143" s="24"/>
    </row>
    <row r="144" ht="15.75" customHeight="1">
      <c r="B144" s="18"/>
      <c r="C144" s="18"/>
      <c r="D144" s="18"/>
      <c r="E144" s="18"/>
      <c r="F144" s="18"/>
      <c r="G144" s="19"/>
      <c r="H144" s="27"/>
      <c r="I144" s="27"/>
      <c r="J144" s="27"/>
      <c r="K144" s="27"/>
      <c r="L144" s="27"/>
      <c r="M144" s="21"/>
      <c r="N144" s="27"/>
      <c r="O144" s="27"/>
      <c r="P144" s="27"/>
      <c r="Q144" s="27"/>
      <c r="R144" s="27"/>
      <c r="S144" s="21"/>
      <c r="T144" s="28"/>
      <c r="U144" s="28"/>
      <c r="V144" s="28"/>
      <c r="W144" s="28"/>
      <c r="X144" s="28"/>
      <c r="Y144" s="19"/>
      <c r="Z144" s="18"/>
      <c r="AE144" s="19"/>
      <c r="AH144" s="24"/>
      <c r="AI144" s="30"/>
      <c r="AJ144" s="30"/>
      <c r="AK144" s="30"/>
      <c r="AL144" s="24"/>
      <c r="AM144" s="24"/>
    </row>
    <row r="145" ht="15.75" customHeight="1">
      <c r="B145" s="18"/>
      <c r="C145" s="18"/>
      <c r="D145" s="18"/>
      <c r="E145" s="18"/>
      <c r="F145" s="18"/>
      <c r="G145" s="19"/>
      <c r="H145" s="27"/>
      <c r="I145" s="27"/>
      <c r="J145" s="27"/>
      <c r="K145" s="27"/>
      <c r="L145" s="27"/>
      <c r="M145" s="21"/>
      <c r="N145" s="27"/>
      <c r="O145" s="27"/>
      <c r="P145" s="27"/>
      <c r="Q145" s="27"/>
      <c r="R145" s="27"/>
      <c r="S145" s="21"/>
      <c r="T145" s="28"/>
      <c r="U145" s="28"/>
      <c r="V145" s="28"/>
      <c r="W145" s="28"/>
      <c r="X145" s="28"/>
      <c r="Y145" s="19"/>
      <c r="Z145" s="18"/>
      <c r="AE145" s="19"/>
      <c r="AH145" s="24"/>
      <c r="AI145" s="30"/>
      <c r="AJ145" s="30"/>
      <c r="AK145" s="30"/>
      <c r="AL145" s="24"/>
      <c r="AM145" s="24"/>
    </row>
    <row r="146" ht="15.75" customHeight="1">
      <c r="B146" s="18"/>
      <c r="C146" s="18"/>
      <c r="D146" s="18"/>
      <c r="E146" s="18"/>
      <c r="F146" s="18"/>
      <c r="G146" s="19"/>
      <c r="H146" s="27"/>
      <c r="I146" s="27"/>
      <c r="J146" s="27"/>
      <c r="K146" s="27"/>
      <c r="L146" s="27"/>
      <c r="M146" s="21"/>
      <c r="N146" s="27"/>
      <c r="O146" s="27"/>
      <c r="P146" s="27"/>
      <c r="Q146" s="27"/>
      <c r="R146" s="27"/>
      <c r="S146" s="21"/>
      <c r="T146" s="28"/>
      <c r="U146" s="28"/>
      <c r="V146" s="28"/>
      <c r="W146" s="28"/>
      <c r="X146" s="28"/>
      <c r="Y146" s="19"/>
      <c r="Z146" s="18"/>
      <c r="AE146" s="19"/>
      <c r="AH146" s="24"/>
      <c r="AI146" s="30"/>
      <c r="AJ146" s="30"/>
      <c r="AK146" s="30"/>
      <c r="AL146" s="24"/>
      <c r="AM146" s="24"/>
    </row>
    <row r="147" ht="15.75" customHeight="1">
      <c r="B147" s="18"/>
      <c r="C147" s="18"/>
      <c r="D147" s="18"/>
      <c r="E147" s="18"/>
      <c r="F147" s="18"/>
      <c r="G147" s="19"/>
      <c r="H147" s="27"/>
      <c r="I147" s="27"/>
      <c r="J147" s="27"/>
      <c r="K147" s="27"/>
      <c r="L147" s="27"/>
      <c r="M147" s="21"/>
      <c r="N147" s="27"/>
      <c r="O147" s="27"/>
      <c r="P147" s="27"/>
      <c r="Q147" s="27"/>
      <c r="R147" s="27"/>
      <c r="S147" s="21"/>
      <c r="T147" s="28"/>
      <c r="U147" s="28"/>
      <c r="V147" s="28"/>
      <c r="W147" s="28"/>
      <c r="X147" s="28"/>
      <c r="Y147" s="19"/>
      <c r="Z147" s="18"/>
      <c r="AE147" s="19"/>
      <c r="AH147" s="24"/>
      <c r="AI147" s="30"/>
      <c r="AJ147" s="30"/>
      <c r="AK147" s="30"/>
      <c r="AL147" s="24"/>
      <c r="AM147" s="24"/>
    </row>
    <row r="148" ht="15.75" customHeight="1">
      <c r="B148" s="18"/>
      <c r="C148" s="18"/>
      <c r="D148" s="18"/>
      <c r="E148" s="18"/>
      <c r="F148" s="18"/>
      <c r="G148" s="19"/>
      <c r="H148" s="27"/>
      <c r="I148" s="27"/>
      <c r="J148" s="27"/>
      <c r="K148" s="27"/>
      <c r="L148" s="27"/>
      <c r="M148" s="21"/>
      <c r="N148" s="27"/>
      <c r="O148" s="27"/>
      <c r="P148" s="27"/>
      <c r="Q148" s="27"/>
      <c r="R148" s="27"/>
      <c r="S148" s="21"/>
      <c r="T148" s="28"/>
      <c r="U148" s="28"/>
      <c r="V148" s="28"/>
      <c r="W148" s="28"/>
      <c r="X148" s="28"/>
      <c r="Y148" s="19"/>
      <c r="Z148" s="18"/>
      <c r="AE148" s="19"/>
      <c r="AH148" s="24"/>
      <c r="AI148" s="30"/>
      <c r="AJ148" s="30"/>
      <c r="AK148" s="30"/>
      <c r="AL148" s="24"/>
      <c r="AM148" s="24"/>
    </row>
    <row r="149" ht="15.75" customHeight="1">
      <c r="B149" s="18"/>
      <c r="C149" s="18"/>
      <c r="D149" s="18"/>
      <c r="E149" s="18"/>
      <c r="F149" s="18"/>
      <c r="G149" s="19"/>
      <c r="H149" s="27"/>
      <c r="I149" s="27"/>
      <c r="J149" s="27"/>
      <c r="K149" s="27"/>
      <c r="L149" s="27"/>
      <c r="M149" s="21"/>
      <c r="N149" s="27"/>
      <c r="O149" s="27"/>
      <c r="P149" s="27"/>
      <c r="Q149" s="27"/>
      <c r="R149" s="27"/>
      <c r="S149" s="21"/>
      <c r="T149" s="28"/>
      <c r="U149" s="28"/>
      <c r="V149" s="28"/>
      <c r="W149" s="28"/>
      <c r="X149" s="28"/>
      <c r="Y149" s="19"/>
      <c r="Z149" s="18"/>
      <c r="AE149" s="19"/>
      <c r="AH149" s="24"/>
      <c r="AI149" s="30"/>
      <c r="AJ149" s="30"/>
      <c r="AK149" s="30"/>
      <c r="AL149" s="24"/>
      <c r="AM149" s="24"/>
    </row>
    <row r="150" ht="15.75" customHeight="1">
      <c r="B150" s="18"/>
      <c r="C150" s="18"/>
      <c r="D150" s="18"/>
      <c r="E150" s="18"/>
      <c r="F150" s="18"/>
      <c r="G150" s="19"/>
      <c r="H150" s="27"/>
      <c r="I150" s="27"/>
      <c r="J150" s="27"/>
      <c r="K150" s="27"/>
      <c r="L150" s="27"/>
      <c r="M150" s="21"/>
      <c r="N150" s="27"/>
      <c r="O150" s="27"/>
      <c r="P150" s="27"/>
      <c r="Q150" s="27"/>
      <c r="R150" s="27"/>
      <c r="S150" s="21"/>
      <c r="T150" s="28"/>
      <c r="U150" s="28"/>
      <c r="V150" s="28"/>
      <c r="W150" s="28"/>
      <c r="X150" s="28"/>
      <c r="Y150" s="19"/>
      <c r="Z150" s="18"/>
      <c r="AE150" s="19"/>
      <c r="AH150" s="24"/>
      <c r="AI150" s="30"/>
      <c r="AJ150" s="30"/>
      <c r="AK150" s="30"/>
      <c r="AL150" s="24"/>
      <c r="AM150" s="24"/>
    </row>
    <row r="151" ht="15.75" customHeight="1">
      <c r="B151" s="18"/>
      <c r="C151" s="18"/>
      <c r="D151" s="18"/>
      <c r="E151" s="18"/>
      <c r="F151" s="18"/>
      <c r="G151" s="19"/>
      <c r="H151" s="27"/>
      <c r="I151" s="27"/>
      <c r="J151" s="27"/>
      <c r="K151" s="27"/>
      <c r="L151" s="27"/>
      <c r="M151" s="21"/>
      <c r="N151" s="27"/>
      <c r="O151" s="27"/>
      <c r="P151" s="27"/>
      <c r="Q151" s="27"/>
      <c r="R151" s="27"/>
      <c r="S151" s="21"/>
      <c r="T151" s="28"/>
      <c r="U151" s="28"/>
      <c r="V151" s="28"/>
      <c r="W151" s="28"/>
      <c r="X151" s="28"/>
      <c r="Y151" s="19"/>
      <c r="Z151" s="18"/>
      <c r="AE151" s="19"/>
      <c r="AH151" s="24"/>
      <c r="AI151" s="30"/>
      <c r="AJ151" s="30"/>
      <c r="AK151" s="30"/>
      <c r="AL151" s="24"/>
      <c r="AM151" s="24"/>
    </row>
    <row r="152" ht="15.75" customHeight="1">
      <c r="B152" s="18"/>
      <c r="C152" s="18"/>
      <c r="D152" s="18"/>
      <c r="E152" s="18"/>
      <c r="F152" s="18"/>
      <c r="G152" s="19"/>
      <c r="H152" s="27"/>
      <c r="I152" s="27"/>
      <c r="J152" s="27"/>
      <c r="K152" s="27"/>
      <c r="L152" s="27"/>
      <c r="M152" s="21"/>
      <c r="N152" s="27"/>
      <c r="O152" s="27"/>
      <c r="P152" s="27"/>
      <c r="Q152" s="27"/>
      <c r="R152" s="27"/>
      <c r="S152" s="21"/>
      <c r="T152" s="28"/>
      <c r="U152" s="28"/>
      <c r="V152" s="28"/>
      <c r="W152" s="28"/>
      <c r="X152" s="28"/>
      <c r="Y152" s="19"/>
      <c r="Z152" s="18"/>
      <c r="AE152" s="19"/>
      <c r="AH152" s="24"/>
      <c r="AI152" s="30"/>
      <c r="AJ152" s="30"/>
      <c r="AK152" s="30"/>
      <c r="AL152" s="24"/>
      <c r="AM152" s="24"/>
    </row>
    <row r="153" ht="15.75" customHeight="1">
      <c r="B153" s="18"/>
      <c r="C153" s="18"/>
      <c r="D153" s="18"/>
      <c r="E153" s="18"/>
      <c r="F153" s="18"/>
      <c r="G153" s="19"/>
      <c r="H153" s="27"/>
      <c r="I153" s="27"/>
      <c r="J153" s="27"/>
      <c r="K153" s="27"/>
      <c r="L153" s="27"/>
      <c r="M153" s="21"/>
      <c r="N153" s="27"/>
      <c r="O153" s="27"/>
      <c r="P153" s="27"/>
      <c r="Q153" s="27"/>
      <c r="R153" s="27"/>
      <c r="S153" s="21"/>
      <c r="T153" s="28"/>
      <c r="U153" s="28"/>
      <c r="V153" s="28"/>
      <c r="W153" s="28"/>
      <c r="X153" s="28"/>
      <c r="Y153" s="19"/>
      <c r="Z153" s="18"/>
      <c r="AE153" s="19"/>
      <c r="AH153" s="24"/>
      <c r="AI153" s="30"/>
      <c r="AJ153" s="30"/>
      <c r="AK153" s="30"/>
      <c r="AL153" s="24"/>
      <c r="AM153" s="24"/>
    </row>
    <row r="154" ht="15.75" customHeight="1">
      <c r="B154" s="18"/>
      <c r="C154" s="18"/>
      <c r="D154" s="18"/>
      <c r="E154" s="18"/>
      <c r="F154" s="18"/>
      <c r="G154" s="19"/>
      <c r="H154" s="27"/>
      <c r="I154" s="27"/>
      <c r="J154" s="27"/>
      <c r="K154" s="27"/>
      <c r="L154" s="27"/>
      <c r="M154" s="21"/>
      <c r="N154" s="27"/>
      <c r="O154" s="27"/>
      <c r="P154" s="27"/>
      <c r="Q154" s="27"/>
      <c r="R154" s="27"/>
      <c r="S154" s="21"/>
      <c r="T154" s="28"/>
      <c r="U154" s="28"/>
      <c r="V154" s="28"/>
      <c r="W154" s="28"/>
      <c r="X154" s="28"/>
      <c r="Y154" s="19"/>
      <c r="Z154" s="18"/>
      <c r="AE154" s="19"/>
      <c r="AH154" s="24"/>
      <c r="AI154" s="30"/>
      <c r="AJ154" s="30"/>
      <c r="AK154" s="30"/>
      <c r="AL154" s="24"/>
      <c r="AM154" s="24"/>
    </row>
    <row r="155" ht="15.75" customHeight="1">
      <c r="B155" s="18"/>
      <c r="C155" s="18"/>
      <c r="D155" s="18"/>
      <c r="E155" s="18"/>
      <c r="F155" s="18"/>
      <c r="G155" s="19"/>
      <c r="H155" s="27"/>
      <c r="I155" s="27"/>
      <c r="J155" s="27"/>
      <c r="K155" s="27"/>
      <c r="L155" s="27"/>
      <c r="M155" s="21"/>
      <c r="N155" s="27"/>
      <c r="O155" s="27"/>
      <c r="P155" s="27"/>
      <c r="Q155" s="27"/>
      <c r="R155" s="27"/>
      <c r="S155" s="21"/>
      <c r="T155" s="28"/>
      <c r="U155" s="28"/>
      <c r="V155" s="28"/>
      <c r="W155" s="28"/>
      <c r="X155" s="28"/>
      <c r="Y155" s="19"/>
      <c r="Z155" s="18"/>
      <c r="AE155" s="19"/>
      <c r="AH155" s="24"/>
      <c r="AI155" s="30"/>
      <c r="AJ155" s="30"/>
      <c r="AK155" s="30"/>
      <c r="AL155" s="24"/>
      <c r="AM155" s="24"/>
    </row>
    <row r="156" ht="15.75" customHeight="1">
      <c r="B156" s="18"/>
      <c r="C156" s="18"/>
      <c r="D156" s="18"/>
      <c r="E156" s="18"/>
      <c r="F156" s="18"/>
      <c r="G156" s="19"/>
      <c r="H156" s="27"/>
      <c r="I156" s="27"/>
      <c r="J156" s="27"/>
      <c r="K156" s="27"/>
      <c r="L156" s="27"/>
      <c r="M156" s="21"/>
      <c r="N156" s="27"/>
      <c r="O156" s="27"/>
      <c r="P156" s="27"/>
      <c r="Q156" s="27"/>
      <c r="R156" s="27"/>
      <c r="S156" s="21"/>
      <c r="T156" s="28"/>
      <c r="U156" s="28"/>
      <c r="V156" s="28"/>
      <c r="W156" s="28"/>
      <c r="X156" s="28"/>
      <c r="Y156" s="19"/>
      <c r="Z156" s="18"/>
      <c r="AE156" s="19"/>
      <c r="AH156" s="24"/>
      <c r="AI156" s="30"/>
      <c r="AJ156" s="30"/>
      <c r="AK156" s="30"/>
      <c r="AL156" s="24"/>
      <c r="AM156" s="24"/>
    </row>
    <row r="157" ht="15.75" customHeight="1">
      <c r="B157" s="18"/>
      <c r="C157" s="18"/>
      <c r="D157" s="18"/>
      <c r="E157" s="18"/>
      <c r="F157" s="18"/>
      <c r="G157" s="19"/>
      <c r="H157" s="27"/>
      <c r="I157" s="27"/>
      <c r="J157" s="27"/>
      <c r="K157" s="27"/>
      <c r="L157" s="27"/>
      <c r="M157" s="21"/>
      <c r="N157" s="27"/>
      <c r="O157" s="27"/>
      <c r="P157" s="27"/>
      <c r="Q157" s="27"/>
      <c r="R157" s="27"/>
      <c r="S157" s="21"/>
      <c r="T157" s="28"/>
      <c r="U157" s="28"/>
      <c r="V157" s="28"/>
      <c r="W157" s="28"/>
      <c r="X157" s="28"/>
      <c r="Y157" s="19"/>
      <c r="Z157" s="18"/>
      <c r="AE157" s="19"/>
      <c r="AH157" s="24"/>
      <c r="AI157" s="30"/>
      <c r="AJ157" s="30"/>
      <c r="AK157" s="30"/>
      <c r="AL157" s="24"/>
      <c r="AM157" s="24"/>
    </row>
    <row r="158" ht="15.75" customHeight="1">
      <c r="B158" s="18"/>
      <c r="C158" s="18"/>
      <c r="D158" s="18"/>
      <c r="E158" s="18"/>
      <c r="F158" s="18"/>
      <c r="G158" s="19"/>
      <c r="H158" s="27"/>
      <c r="I158" s="27"/>
      <c r="J158" s="27"/>
      <c r="K158" s="27"/>
      <c r="L158" s="27"/>
      <c r="M158" s="21"/>
      <c r="N158" s="27"/>
      <c r="O158" s="27"/>
      <c r="P158" s="27"/>
      <c r="Q158" s="27"/>
      <c r="R158" s="27"/>
      <c r="S158" s="21"/>
      <c r="T158" s="28"/>
      <c r="U158" s="28"/>
      <c r="V158" s="28"/>
      <c r="W158" s="28"/>
      <c r="X158" s="28"/>
      <c r="Y158" s="19"/>
      <c r="Z158" s="18"/>
      <c r="AE158" s="19"/>
      <c r="AH158" s="24"/>
      <c r="AI158" s="30"/>
      <c r="AJ158" s="30"/>
      <c r="AK158" s="30"/>
      <c r="AL158" s="24"/>
      <c r="AM158" s="24"/>
    </row>
    <row r="159" ht="15.75" customHeight="1">
      <c r="B159" s="18"/>
      <c r="C159" s="18"/>
      <c r="D159" s="18"/>
      <c r="E159" s="18"/>
      <c r="F159" s="18"/>
      <c r="G159" s="19"/>
      <c r="H159" s="27"/>
      <c r="I159" s="27"/>
      <c r="J159" s="27"/>
      <c r="K159" s="27"/>
      <c r="L159" s="27"/>
      <c r="M159" s="21"/>
      <c r="N159" s="27"/>
      <c r="O159" s="27"/>
      <c r="P159" s="27"/>
      <c r="Q159" s="27"/>
      <c r="R159" s="27"/>
      <c r="S159" s="21"/>
      <c r="T159" s="28"/>
      <c r="U159" s="28"/>
      <c r="V159" s="28"/>
      <c r="W159" s="28"/>
      <c r="X159" s="28"/>
      <c r="Y159" s="19"/>
      <c r="Z159" s="18"/>
      <c r="AE159" s="19"/>
      <c r="AH159" s="24"/>
      <c r="AI159" s="30"/>
      <c r="AJ159" s="30"/>
      <c r="AK159" s="30"/>
      <c r="AL159" s="24"/>
      <c r="AM159" s="24"/>
    </row>
    <row r="160" ht="15.75" customHeight="1">
      <c r="B160" s="18"/>
      <c r="C160" s="18"/>
      <c r="D160" s="18"/>
      <c r="E160" s="18"/>
      <c r="F160" s="18"/>
      <c r="G160" s="19"/>
      <c r="H160" s="27"/>
      <c r="I160" s="27"/>
      <c r="J160" s="27"/>
      <c r="K160" s="27"/>
      <c r="L160" s="27"/>
      <c r="M160" s="21"/>
      <c r="N160" s="27"/>
      <c r="O160" s="27"/>
      <c r="P160" s="27"/>
      <c r="Q160" s="27"/>
      <c r="R160" s="27"/>
      <c r="S160" s="21"/>
      <c r="T160" s="28"/>
      <c r="U160" s="28"/>
      <c r="V160" s="28"/>
      <c r="W160" s="28"/>
      <c r="X160" s="28"/>
      <c r="Y160" s="19"/>
      <c r="Z160" s="18"/>
      <c r="AE160" s="19"/>
      <c r="AH160" s="24"/>
      <c r="AI160" s="30"/>
      <c r="AJ160" s="30"/>
      <c r="AK160" s="30"/>
      <c r="AL160" s="24"/>
      <c r="AM160" s="24"/>
    </row>
    <row r="161" ht="15.75" customHeight="1">
      <c r="B161" s="18"/>
      <c r="C161" s="18"/>
      <c r="D161" s="18"/>
      <c r="E161" s="18"/>
      <c r="F161" s="18"/>
      <c r="G161" s="19"/>
      <c r="H161" s="27"/>
      <c r="I161" s="27"/>
      <c r="J161" s="27"/>
      <c r="K161" s="27"/>
      <c r="L161" s="27"/>
      <c r="M161" s="21"/>
      <c r="N161" s="27"/>
      <c r="O161" s="27"/>
      <c r="P161" s="27"/>
      <c r="Q161" s="27"/>
      <c r="R161" s="27"/>
      <c r="S161" s="21"/>
      <c r="T161" s="28"/>
      <c r="U161" s="28"/>
      <c r="V161" s="28"/>
      <c r="W161" s="28"/>
      <c r="X161" s="28"/>
      <c r="Y161" s="19"/>
      <c r="Z161" s="18"/>
      <c r="AE161" s="19"/>
      <c r="AH161" s="24"/>
      <c r="AI161" s="30"/>
      <c r="AJ161" s="30"/>
      <c r="AK161" s="30"/>
      <c r="AL161" s="24"/>
      <c r="AM161" s="24"/>
    </row>
    <row r="162" ht="15.75" customHeight="1">
      <c r="B162" s="18"/>
      <c r="C162" s="18"/>
      <c r="D162" s="18"/>
      <c r="E162" s="18"/>
      <c r="F162" s="18"/>
      <c r="G162" s="19"/>
      <c r="H162" s="27"/>
      <c r="I162" s="27"/>
      <c r="J162" s="27"/>
      <c r="K162" s="27"/>
      <c r="L162" s="27"/>
      <c r="M162" s="21"/>
      <c r="N162" s="27"/>
      <c r="O162" s="27"/>
      <c r="P162" s="27"/>
      <c r="Q162" s="27"/>
      <c r="R162" s="27"/>
      <c r="S162" s="21"/>
      <c r="T162" s="28"/>
      <c r="U162" s="28"/>
      <c r="V162" s="28"/>
      <c r="W162" s="28"/>
      <c r="X162" s="28"/>
      <c r="Y162" s="19"/>
      <c r="Z162" s="18"/>
      <c r="AE162" s="19"/>
      <c r="AH162" s="24"/>
      <c r="AI162" s="30"/>
      <c r="AJ162" s="30"/>
      <c r="AK162" s="30"/>
      <c r="AL162" s="24"/>
      <c r="AM162" s="24"/>
    </row>
    <row r="163" ht="15.75" customHeight="1">
      <c r="B163" s="18"/>
      <c r="C163" s="18"/>
      <c r="D163" s="18"/>
      <c r="E163" s="18"/>
      <c r="F163" s="18"/>
      <c r="G163" s="19"/>
      <c r="H163" s="27"/>
      <c r="I163" s="27"/>
      <c r="J163" s="27"/>
      <c r="K163" s="27"/>
      <c r="L163" s="27"/>
      <c r="M163" s="21"/>
      <c r="N163" s="27"/>
      <c r="O163" s="27"/>
      <c r="P163" s="27"/>
      <c r="Q163" s="27"/>
      <c r="R163" s="27"/>
      <c r="S163" s="21"/>
      <c r="T163" s="28"/>
      <c r="U163" s="28"/>
      <c r="V163" s="28"/>
      <c r="W163" s="28"/>
      <c r="X163" s="28"/>
      <c r="Y163" s="19"/>
      <c r="Z163" s="18"/>
      <c r="AE163" s="19"/>
      <c r="AH163" s="24"/>
      <c r="AI163" s="30"/>
      <c r="AJ163" s="30"/>
      <c r="AK163" s="30"/>
      <c r="AL163" s="24"/>
      <c r="AM163" s="24"/>
    </row>
    <row r="164" ht="15.75" customHeight="1">
      <c r="B164" s="18"/>
      <c r="C164" s="18"/>
      <c r="D164" s="18"/>
      <c r="E164" s="18"/>
      <c r="F164" s="18"/>
      <c r="G164" s="19"/>
      <c r="H164" s="27"/>
      <c r="I164" s="27"/>
      <c r="J164" s="27"/>
      <c r="K164" s="27"/>
      <c r="L164" s="27"/>
      <c r="M164" s="21"/>
      <c r="N164" s="27"/>
      <c r="O164" s="27"/>
      <c r="P164" s="27"/>
      <c r="Q164" s="27"/>
      <c r="R164" s="27"/>
      <c r="S164" s="21"/>
      <c r="T164" s="28"/>
      <c r="U164" s="28"/>
      <c r="V164" s="28"/>
      <c r="W164" s="28"/>
      <c r="X164" s="28"/>
      <c r="Y164" s="19"/>
      <c r="Z164" s="18"/>
      <c r="AE164" s="19"/>
      <c r="AH164" s="24"/>
      <c r="AI164" s="30"/>
      <c r="AJ164" s="30"/>
      <c r="AK164" s="30"/>
      <c r="AL164" s="24"/>
      <c r="AM164" s="24"/>
    </row>
    <row r="165" ht="15.75" customHeight="1">
      <c r="B165" s="18"/>
      <c r="C165" s="18"/>
      <c r="D165" s="18"/>
      <c r="E165" s="18"/>
      <c r="F165" s="18"/>
      <c r="G165" s="19"/>
      <c r="H165" s="27"/>
      <c r="I165" s="27"/>
      <c r="J165" s="27"/>
      <c r="K165" s="27"/>
      <c r="L165" s="27"/>
      <c r="M165" s="21"/>
      <c r="N165" s="27"/>
      <c r="O165" s="27"/>
      <c r="P165" s="27"/>
      <c r="Q165" s="27"/>
      <c r="R165" s="27"/>
      <c r="S165" s="21"/>
      <c r="T165" s="28"/>
      <c r="U165" s="28"/>
      <c r="V165" s="28"/>
      <c r="W165" s="28"/>
      <c r="X165" s="28"/>
      <c r="Y165" s="19"/>
      <c r="Z165" s="18"/>
      <c r="AE165" s="19"/>
      <c r="AH165" s="24"/>
      <c r="AI165" s="30"/>
      <c r="AJ165" s="30"/>
      <c r="AK165" s="30"/>
      <c r="AL165" s="24"/>
      <c r="AM165" s="24"/>
    </row>
    <row r="166" ht="15.75" customHeight="1">
      <c r="B166" s="18"/>
      <c r="C166" s="18"/>
      <c r="D166" s="18"/>
      <c r="E166" s="18"/>
      <c r="F166" s="18"/>
      <c r="G166" s="19"/>
      <c r="H166" s="27"/>
      <c r="I166" s="27"/>
      <c r="J166" s="27"/>
      <c r="K166" s="27"/>
      <c r="L166" s="27"/>
      <c r="M166" s="21"/>
      <c r="N166" s="27"/>
      <c r="O166" s="27"/>
      <c r="P166" s="27"/>
      <c r="Q166" s="27"/>
      <c r="R166" s="27"/>
      <c r="S166" s="21"/>
      <c r="T166" s="28"/>
      <c r="U166" s="28"/>
      <c r="V166" s="28"/>
      <c r="W166" s="28"/>
      <c r="X166" s="28"/>
      <c r="Y166" s="19"/>
      <c r="Z166" s="18"/>
      <c r="AE166" s="19"/>
      <c r="AH166" s="24"/>
      <c r="AI166" s="30"/>
      <c r="AJ166" s="30"/>
      <c r="AK166" s="30"/>
      <c r="AL166" s="24"/>
      <c r="AM166" s="24"/>
    </row>
    <row r="167" ht="15.75" customHeight="1">
      <c r="B167" s="18"/>
      <c r="C167" s="18"/>
      <c r="D167" s="18"/>
      <c r="E167" s="18"/>
      <c r="F167" s="18"/>
      <c r="G167" s="19"/>
      <c r="H167" s="27"/>
      <c r="I167" s="27"/>
      <c r="J167" s="27"/>
      <c r="K167" s="27"/>
      <c r="L167" s="27"/>
      <c r="M167" s="21"/>
      <c r="N167" s="27"/>
      <c r="O167" s="27"/>
      <c r="P167" s="27"/>
      <c r="Q167" s="27"/>
      <c r="R167" s="27"/>
      <c r="S167" s="21"/>
      <c r="T167" s="28"/>
      <c r="U167" s="28"/>
      <c r="V167" s="28"/>
      <c r="W167" s="28"/>
      <c r="X167" s="28"/>
      <c r="Y167" s="19"/>
      <c r="Z167" s="18"/>
      <c r="AE167" s="19"/>
      <c r="AH167" s="24"/>
      <c r="AI167" s="30"/>
      <c r="AJ167" s="30"/>
      <c r="AK167" s="30"/>
      <c r="AL167" s="24"/>
      <c r="AM167" s="24"/>
    </row>
    <row r="168" ht="15.75" customHeight="1">
      <c r="B168" s="18"/>
      <c r="C168" s="18"/>
      <c r="D168" s="18"/>
      <c r="E168" s="18"/>
      <c r="F168" s="18"/>
      <c r="G168" s="19"/>
      <c r="H168" s="27"/>
      <c r="I168" s="27"/>
      <c r="J168" s="27"/>
      <c r="K168" s="27"/>
      <c r="L168" s="27"/>
      <c r="M168" s="21"/>
      <c r="N168" s="27"/>
      <c r="O168" s="27"/>
      <c r="P168" s="27"/>
      <c r="Q168" s="27"/>
      <c r="R168" s="27"/>
      <c r="S168" s="21"/>
      <c r="T168" s="28"/>
      <c r="U168" s="28"/>
      <c r="V168" s="28"/>
      <c r="W168" s="28"/>
      <c r="X168" s="28"/>
      <c r="Y168" s="19"/>
      <c r="Z168" s="18"/>
      <c r="AE168" s="19"/>
      <c r="AH168" s="24"/>
      <c r="AI168" s="30"/>
      <c r="AJ168" s="30"/>
      <c r="AK168" s="30"/>
      <c r="AL168" s="24"/>
      <c r="AM168" s="24"/>
    </row>
    <row r="169" ht="15.75" customHeight="1">
      <c r="B169" s="18"/>
      <c r="C169" s="18"/>
      <c r="D169" s="18"/>
      <c r="E169" s="18"/>
      <c r="F169" s="18"/>
      <c r="G169" s="19"/>
      <c r="H169" s="27"/>
      <c r="I169" s="27"/>
      <c r="J169" s="27"/>
      <c r="K169" s="27"/>
      <c r="L169" s="27"/>
      <c r="M169" s="21"/>
      <c r="N169" s="27"/>
      <c r="O169" s="27"/>
      <c r="P169" s="27"/>
      <c r="Q169" s="27"/>
      <c r="R169" s="27"/>
      <c r="S169" s="21"/>
      <c r="T169" s="28"/>
      <c r="U169" s="28"/>
      <c r="V169" s="28"/>
      <c r="W169" s="28"/>
      <c r="X169" s="28"/>
      <c r="Y169" s="19"/>
      <c r="Z169" s="18"/>
      <c r="AE169" s="19"/>
      <c r="AH169" s="24"/>
      <c r="AI169" s="30"/>
      <c r="AJ169" s="30"/>
      <c r="AK169" s="30"/>
      <c r="AL169" s="24"/>
      <c r="AM169" s="24"/>
    </row>
    <row r="170" ht="15.75" customHeight="1">
      <c r="B170" s="18"/>
      <c r="C170" s="18"/>
      <c r="D170" s="18"/>
      <c r="E170" s="18"/>
      <c r="F170" s="18"/>
      <c r="G170" s="19"/>
      <c r="H170" s="27"/>
      <c r="I170" s="27"/>
      <c r="J170" s="27"/>
      <c r="K170" s="27"/>
      <c r="L170" s="27"/>
      <c r="M170" s="21"/>
      <c r="N170" s="27"/>
      <c r="O170" s="27"/>
      <c r="P170" s="27"/>
      <c r="Q170" s="27"/>
      <c r="R170" s="27"/>
      <c r="S170" s="21"/>
      <c r="T170" s="28"/>
      <c r="U170" s="28"/>
      <c r="V170" s="28"/>
      <c r="W170" s="28"/>
      <c r="X170" s="28"/>
      <c r="Y170" s="19"/>
      <c r="Z170" s="18"/>
      <c r="AE170" s="19"/>
      <c r="AH170" s="24"/>
      <c r="AI170" s="30"/>
      <c r="AJ170" s="30"/>
      <c r="AK170" s="30"/>
      <c r="AL170" s="24"/>
      <c r="AM170" s="24"/>
    </row>
    <row r="171" ht="15.75" customHeight="1">
      <c r="B171" s="18"/>
      <c r="C171" s="18"/>
      <c r="D171" s="18"/>
      <c r="E171" s="18"/>
      <c r="F171" s="18"/>
      <c r="G171" s="19"/>
      <c r="H171" s="27"/>
      <c r="I171" s="27"/>
      <c r="J171" s="27"/>
      <c r="K171" s="27"/>
      <c r="L171" s="27"/>
      <c r="M171" s="21"/>
      <c r="N171" s="27"/>
      <c r="O171" s="27"/>
      <c r="P171" s="27"/>
      <c r="Q171" s="27"/>
      <c r="R171" s="27"/>
      <c r="S171" s="21"/>
      <c r="T171" s="28"/>
      <c r="U171" s="28"/>
      <c r="V171" s="28"/>
      <c r="W171" s="28"/>
      <c r="X171" s="28"/>
      <c r="Y171" s="19"/>
      <c r="Z171" s="18"/>
      <c r="AE171" s="19"/>
      <c r="AH171" s="24"/>
      <c r="AI171" s="30"/>
      <c r="AJ171" s="30"/>
      <c r="AK171" s="30"/>
      <c r="AL171" s="24"/>
      <c r="AM171" s="24"/>
    </row>
    <row r="172" ht="15.75" customHeight="1">
      <c r="B172" s="18"/>
      <c r="C172" s="18"/>
      <c r="D172" s="18"/>
      <c r="E172" s="18"/>
      <c r="F172" s="18"/>
      <c r="G172" s="19"/>
      <c r="H172" s="27"/>
      <c r="I172" s="27"/>
      <c r="J172" s="27"/>
      <c r="K172" s="27"/>
      <c r="L172" s="27"/>
      <c r="M172" s="21"/>
      <c r="N172" s="27"/>
      <c r="O172" s="27"/>
      <c r="P172" s="27"/>
      <c r="Q172" s="27"/>
      <c r="R172" s="27"/>
      <c r="S172" s="21"/>
      <c r="T172" s="28"/>
      <c r="U172" s="28"/>
      <c r="V172" s="28"/>
      <c r="W172" s="28"/>
      <c r="X172" s="28"/>
      <c r="Y172" s="19"/>
      <c r="Z172" s="18"/>
      <c r="AE172" s="19"/>
      <c r="AH172" s="24"/>
      <c r="AI172" s="30"/>
      <c r="AJ172" s="30"/>
      <c r="AK172" s="30"/>
      <c r="AL172" s="24"/>
      <c r="AM172" s="24"/>
    </row>
    <row r="173" ht="15.75" customHeight="1">
      <c r="B173" s="18"/>
      <c r="C173" s="18"/>
      <c r="D173" s="18"/>
      <c r="E173" s="18"/>
      <c r="F173" s="18"/>
      <c r="G173" s="19"/>
      <c r="H173" s="27"/>
      <c r="I173" s="27"/>
      <c r="J173" s="27"/>
      <c r="K173" s="27"/>
      <c r="L173" s="27"/>
      <c r="M173" s="21"/>
      <c r="N173" s="27"/>
      <c r="O173" s="27"/>
      <c r="P173" s="27"/>
      <c r="Q173" s="27"/>
      <c r="R173" s="27"/>
      <c r="S173" s="21"/>
      <c r="T173" s="28"/>
      <c r="U173" s="28"/>
      <c r="V173" s="28"/>
      <c r="W173" s="28"/>
      <c r="X173" s="28"/>
      <c r="Y173" s="19"/>
      <c r="Z173" s="18"/>
      <c r="AE173" s="19"/>
      <c r="AH173" s="24"/>
      <c r="AI173" s="30"/>
      <c r="AJ173" s="30"/>
      <c r="AK173" s="30"/>
      <c r="AL173" s="24"/>
      <c r="AM173" s="24"/>
    </row>
    <row r="174" ht="15.75" customHeight="1">
      <c r="B174" s="18"/>
      <c r="C174" s="18"/>
      <c r="D174" s="18"/>
      <c r="E174" s="18"/>
      <c r="F174" s="18"/>
      <c r="G174" s="19"/>
      <c r="H174" s="27"/>
      <c r="I174" s="27"/>
      <c r="J174" s="27"/>
      <c r="K174" s="27"/>
      <c r="L174" s="27"/>
      <c r="M174" s="21"/>
      <c r="N174" s="27"/>
      <c r="O174" s="27"/>
      <c r="P174" s="27"/>
      <c r="Q174" s="27"/>
      <c r="R174" s="27"/>
      <c r="S174" s="21"/>
      <c r="T174" s="28"/>
      <c r="U174" s="28"/>
      <c r="V174" s="28"/>
      <c r="W174" s="28"/>
      <c r="X174" s="28"/>
      <c r="Y174" s="19"/>
      <c r="Z174" s="18"/>
      <c r="AE174" s="19"/>
      <c r="AH174" s="24"/>
      <c r="AI174" s="30"/>
      <c r="AJ174" s="30"/>
      <c r="AK174" s="30"/>
      <c r="AL174" s="24"/>
      <c r="AM174" s="24"/>
    </row>
    <row r="175" ht="15.75" customHeight="1">
      <c r="B175" s="18"/>
      <c r="C175" s="18"/>
      <c r="D175" s="18"/>
      <c r="E175" s="18"/>
      <c r="F175" s="18"/>
      <c r="G175" s="19"/>
      <c r="H175" s="27"/>
      <c r="I175" s="27"/>
      <c r="J175" s="27"/>
      <c r="K175" s="27"/>
      <c r="L175" s="27"/>
      <c r="M175" s="21"/>
      <c r="N175" s="27"/>
      <c r="O175" s="27"/>
      <c r="P175" s="27"/>
      <c r="Q175" s="27"/>
      <c r="R175" s="27"/>
      <c r="S175" s="21"/>
      <c r="T175" s="28"/>
      <c r="U175" s="28"/>
      <c r="V175" s="28"/>
      <c r="W175" s="28"/>
      <c r="X175" s="28"/>
      <c r="Y175" s="19"/>
      <c r="Z175" s="18"/>
      <c r="AE175" s="19"/>
      <c r="AH175" s="24"/>
      <c r="AI175" s="30"/>
      <c r="AJ175" s="30"/>
      <c r="AK175" s="30"/>
      <c r="AL175" s="24"/>
      <c r="AM175" s="24"/>
    </row>
    <row r="176" ht="15.75" customHeight="1">
      <c r="B176" s="18"/>
      <c r="C176" s="18"/>
      <c r="D176" s="18"/>
      <c r="E176" s="18"/>
      <c r="F176" s="18"/>
      <c r="G176" s="19"/>
      <c r="H176" s="27"/>
      <c r="I176" s="27"/>
      <c r="J176" s="27"/>
      <c r="K176" s="27"/>
      <c r="L176" s="27"/>
      <c r="M176" s="21"/>
      <c r="N176" s="27"/>
      <c r="O176" s="27"/>
      <c r="P176" s="27"/>
      <c r="Q176" s="27"/>
      <c r="R176" s="27"/>
      <c r="S176" s="21"/>
      <c r="T176" s="28"/>
      <c r="U176" s="28"/>
      <c r="V176" s="28"/>
      <c r="W176" s="28"/>
      <c r="X176" s="28"/>
      <c r="Y176" s="19"/>
      <c r="Z176" s="18"/>
      <c r="AE176" s="19"/>
      <c r="AH176" s="24"/>
      <c r="AI176" s="30"/>
      <c r="AJ176" s="30"/>
      <c r="AK176" s="30"/>
      <c r="AL176" s="24"/>
      <c r="AM176" s="24"/>
    </row>
    <row r="177" ht="15.75" customHeight="1">
      <c r="B177" s="18"/>
      <c r="C177" s="18"/>
      <c r="D177" s="18"/>
      <c r="E177" s="18"/>
      <c r="F177" s="18"/>
      <c r="G177" s="19"/>
      <c r="H177" s="27"/>
      <c r="I177" s="27"/>
      <c r="J177" s="27"/>
      <c r="K177" s="27"/>
      <c r="L177" s="27"/>
      <c r="M177" s="21"/>
      <c r="N177" s="27"/>
      <c r="O177" s="27"/>
      <c r="P177" s="27"/>
      <c r="Q177" s="27"/>
      <c r="R177" s="27"/>
      <c r="S177" s="21"/>
      <c r="T177" s="28"/>
      <c r="U177" s="28"/>
      <c r="V177" s="28"/>
      <c r="W177" s="28"/>
      <c r="X177" s="28"/>
      <c r="Y177" s="19"/>
      <c r="Z177" s="18"/>
      <c r="AE177" s="19"/>
      <c r="AH177" s="24"/>
      <c r="AI177" s="30"/>
      <c r="AJ177" s="30"/>
      <c r="AK177" s="30"/>
      <c r="AL177" s="24"/>
      <c r="AM177" s="24"/>
    </row>
    <row r="178" ht="15.75" customHeight="1">
      <c r="B178" s="18"/>
      <c r="C178" s="18"/>
      <c r="D178" s="18"/>
      <c r="E178" s="18"/>
      <c r="F178" s="18"/>
      <c r="G178" s="19"/>
      <c r="H178" s="27"/>
      <c r="I178" s="27"/>
      <c r="J178" s="27"/>
      <c r="K178" s="27"/>
      <c r="L178" s="27"/>
      <c r="M178" s="21"/>
      <c r="N178" s="27"/>
      <c r="O178" s="27"/>
      <c r="P178" s="27"/>
      <c r="Q178" s="27"/>
      <c r="R178" s="27"/>
      <c r="S178" s="21"/>
      <c r="T178" s="28"/>
      <c r="U178" s="28"/>
      <c r="V178" s="28"/>
      <c r="W178" s="28"/>
      <c r="X178" s="28"/>
      <c r="Y178" s="19"/>
      <c r="Z178" s="18"/>
      <c r="AE178" s="19"/>
      <c r="AH178" s="24"/>
      <c r="AI178" s="30"/>
      <c r="AJ178" s="30"/>
      <c r="AK178" s="30"/>
      <c r="AL178" s="24"/>
      <c r="AM178" s="24"/>
    </row>
    <row r="179" ht="15.75" customHeight="1">
      <c r="B179" s="18"/>
      <c r="C179" s="18"/>
      <c r="D179" s="18"/>
      <c r="E179" s="18"/>
      <c r="F179" s="18"/>
      <c r="G179" s="19"/>
      <c r="H179" s="27"/>
      <c r="I179" s="27"/>
      <c r="J179" s="27"/>
      <c r="K179" s="27"/>
      <c r="L179" s="27"/>
      <c r="M179" s="21"/>
      <c r="N179" s="27"/>
      <c r="O179" s="27"/>
      <c r="P179" s="27"/>
      <c r="Q179" s="27"/>
      <c r="R179" s="27"/>
      <c r="S179" s="21"/>
      <c r="T179" s="28"/>
      <c r="U179" s="28"/>
      <c r="V179" s="28"/>
      <c r="W179" s="28"/>
      <c r="X179" s="28"/>
      <c r="Y179" s="19"/>
      <c r="Z179" s="18"/>
      <c r="AE179" s="19"/>
      <c r="AH179" s="24"/>
      <c r="AI179" s="30"/>
      <c r="AJ179" s="30"/>
      <c r="AK179" s="30"/>
      <c r="AL179" s="24"/>
      <c r="AM179" s="24"/>
    </row>
    <row r="180" ht="15.75" customHeight="1">
      <c r="B180" s="18"/>
      <c r="C180" s="18"/>
      <c r="D180" s="18"/>
      <c r="E180" s="18"/>
      <c r="F180" s="18"/>
      <c r="G180" s="19"/>
      <c r="H180" s="27"/>
      <c r="I180" s="27"/>
      <c r="J180" s="27"/>
      <c r="K180" s="27"/>
      <c r="L180" s="27"/>
      <c r="M180" s="21"/>
      <c r="N180" s="27"/>
      <c r="O180" s="27"/>
      <c r="P180" s="27"/>
      <c r="Q180" s="27"/>
      <c r="R180" s="27"/>
      <c r="S180" s="21"/>
      <c r="T180" s="28"/>
      <c r="U180" s="28"/>
      <c r="V180" s="28"/>
      <c r="W180" s="28"/>
      <c r="X180" s="28"/>
      <c r="Y180" s="19"/>
      <c r="Z180" s="18"/>
      <c r="AE180" s="19"/>
      <c r="AH180" s="24"/>
      <c r="AI180" s="30"/>
      <c r="AJ180" s="30"/>
      <c r="AK180" s="30"/>
      <c r="AL180" s="24"/>
      <c r="AM180" s="24"/>
    </row>
    <row r="181" ht="15.75" customHeight="1">
      <c r="B181" s="18"/>
      <c r="C181" s="18"/>
      <c r="D181" s="18"/>
      <c r="E181" s="18"/>
      <c r="F181" s="18"/>
      <c r="G181" s="19"/>
      <c r="H181" s="27"/>
      <c r="I181" s="27"/>
      <c r="J181" s="27"/>
      <c r="K181" s="27"/>
      <c r="L181" s="27"/>
      <c r="M181" s="21"/>
      <c r="N181" s="27"/>
      <c r="O181" s="27"/>
      <c r="P181" s="27"/>
      <c r="Q181" s="27"/>
      <c r="R181" s="27"/>
      <c r="S181" s="21"/>
      <c r="T181" s="28"/>
      <c r="U181" s="28"/>
      <c r="V181" s="28"/>
      <c r="W181" s="28"/>
      <c r="X181" s="28"/>
      <c r="Y181" s="19"/>
      <c r="Z181" s="18"/>
      <c r="AE181" s="19"/>
      <c r="AH181" s="24"/>
      <c r="AI181" s="30"/>
      <c r="AJ181" s="30"/>
      <c r="AK181" s="30"/>
      <c r="AL181" s="24"/>
      <c r="AM181" s="24"/>
    </row>
    <row r="182" ht="15.75" customHeight="1">
      <c r="B182" s="18"/>
      <c r="C182" s="18"/>
      <c r="D182" s="18"/>
      <c r="E182" s="18"/>
      <c r="F182" s="18"/>
      <c r="G182" s="19"/>
      <c r="H182" s="27"/>
      <c r="I182" s="27"/>
      <c r="J182" s="27"/>
      <c r="K182" s="27"/>
      <c r="L182" s="27"/>
      <c r="M182" s="21"/>
      <c r="N182" s="27"/>
      <c r="O182" s="27"/>
      <c r="P182" s="27"/>
      <c r="Q182" s="27"/>
      <c r="R182" s="27"/>
      <c r="S182" s="21"/>
      <c r="T182" s="28"/>
      <c r="U182" s="28"/>
      <c r="V182" s="28"/>
      <c r="W182" s="28"/>
      <c r="X182" s="28"/>
      <c r="Y182" s="19"/>
      <c r="Z182" s="18"/>
      <c r="AE182" s="19"/>
      <c r="AH182" s="24"/>
      <c r="AI182" s="30"/>
      <c r="AJ182" s="30"/>
      <c r="AK182" s="30"/>
      <c r="AL182" s="24"/>
      <c r="AM182" s="24"/>
    </row>
    <row r="183" ht="15.75" customHeight="1">
      <c r="B183" s="18"/>
      <c r="C183" s="18"/>
      <c r="D183" s="18"/>
      <c r="E183" s="18"/>
      <c r="F183" s="18"/>
      <c r="G183" s="19"/>
      <c r="H183" s="27"/>
      <c r="I183" s="27"/>
      <c r="J183" s="27"/>
      <c r="K183" s="27"/>
      <c r="L183" s="27"/>
      <c r="M183" s="21"/>
      <c r="N183" s="27"/>
      <c r="O183" s="27"/>
      <c r="P183" s="27"/>
      <c r="Q183" s="27"/>
      <c r="R183" s="27"/>
      <c r="S183" s="21"/>
      <c r="T183" s="28"/>
      <c r="U183" s="28"/>
      <c r="V183" s="28"/>
      <c r="W183" s="28"/>
      <c r="X183" s="28"/>
      <c r="Y183" s="19"/>
      <c r="Z183" s="18"/>
      <c r="AE183" s="19"/>
      <c r="AH183" s="24"/>
      <c r="AI183" s="30"/>
      <c r="AJ183" s="30"/>
      <c r="AK183" s="30"/>
      <c r="AL183" s="24"/>
      <c r="AM183" s="24"/>
    </row>
    <row r="184" ht="15.75" customHeight="1">
      <c r="B184" s="18"/>
      <c r="C184" s="18"/>
      <c r="D184" s="18"/>
      <c r="E184" s="18"/>
      <c r="F184" s="18"/>
      <c r="G184" s="19"/>
      <c r="H184" s="27"/>
      <c r="I184" s="27"/>
      <c r="J184" s="27"/>
      <c r="K184" s="27"/>
      <c r="L184" s="27"/>
      <c r="M184" s="21"/>
      <c r="N184" s="27"/>
      <c r="O184" s="27"/>
      <c r="P184" s="27"/>
      <c r="Q184" s="27"/>
      <c r="R184" s="27"/>
      <c r="S184" s="21"/>
      <c r="T184" s="28"/>
      <c r="U184" s="28"/>
      <c r="V184" s="28"/>
      <c r="W184" s="28"/>
      <c r="X184" s="28"/>
      <c r="Y184" s="19"/>
      <c r="Z184" s="18"/>
      <c r="AE184" s="19"/>
      <c r="AH184" s="24"/>
      <c r="AI184" s="30"/>
      <c r="AJ184" s="30"/>
      <c r="AK184" s="30"/>
      <c r="AL184" s="24"/>
      <c r="AM184" s="24"/>
    </row>
    <row r="185" ht="15.75" customHeight="1">
      <c r="B185" s="18"/>
      <c r="C185" s="18"/>
      <c r="D185" s="18"/>
      <c r="E185" s="18"/>
      <c r="F185" s="18"/>
      <c r="G185" s="19"/>
      <c r="H185" s="27"/>
      <c r="I185" s="27"/>
      <c r="J185" s="27"/>
      <c r="K185" s="27"/>
      <c r="L185" s="27"/>
      <c r="M185" s="21"/>
      <c r="N185" s="27"/>
      <c r="O185" s="27"/>
      <c r="P185" s="27"/>
      <c r="Q185" s="27"/>
      <c r="R185" s="27"/>
      <c r="S185" s="21"/>
      <c r="T185" s="28"/>
      <c r="U185" s="28"/>
      <c r="V185" s="28"/>
      <c r="W185" s="28"/>
      <c r="X185" s="28"/>
      <c r="Y185" s="19"/>
      <c r="Z185" s="18"/>
      <c r="AE185" s="19"/>
      <c r="AH185" s="24"/>
      <c r="AI185" s="30"/>
      <c r="AJ185" s="30"/>
      <c r="AK185" s="30"/>
      <c r="AL185" s="24"/>
      <c r="AM185" s="24"/>
    </row>
    <row r="186" ht="15.75" customHeight="1">
      <c r="B186" s="18"/>
      <c r="C186" s="18"/>
      <c r="D186" s="18"/>
      <c r="E186" s="18"/>
      <c r="F186" s="18"/>
      <c r="G186" s="19"/>
      <c r="H186" s="27"/>
      <c r="I186" s="27"/>
      <c r="J186" s="27"/>
      <c r="K186" s="27"/>
      <c r="L186" s="27"/>
      <c r="M186" s="21"/>
      <c r="N186" s="27"/>
      <c r="O186" s="27"/>
      <c r="P186" s="27"/>
      <c r="Q186" s="27"/>
      <c r="R186" s="27"/>
      <c r="S186" s="21"/>
      <c r="T186" s="28"/>
      <c r="U186" s="28"/>
      <c r="V186" s="28"/>
      <c r="W186" s="28"/>
      <c r="X186" s="28"/>
      <c r="Y186" s="19"/>
      <c r="Z186" s="18"/>
      <c r="AE186" s="19"/>
      <c r="AH186" s="24"/>
      <c r="AI186" s="30"/>
      <c r="AJ186" s="30"/>
      <c r="AK186" s="30"/>
      <c r="AL186" s="24"/>
      <c r="AM186" s="24"/>
    </row>
    <row r="187" ht="15.75" customHeight="1">
      <c r="B187" s="18"/>
      <c r="C187" s="18"/>
      <c r="D187" s="18"/>
      <c r="E187" s="18"/>
      <c r="F187" s="18"/>
      <c r="G187" s="19"/>
      <c r="H187" s="27"/>
      <c r="I187" s="27"/>
      <c r="J187" s="27"/>
      <c r="K187" s="27"/>
      <c r="L187" s="27"/>
      <c r="M187" s="21"/>
      <c r="N187" s="27"/>
      <c r="O187" s="27"/>
      <c r="P187" s="27"/>
      <c r="Q187" s="27"/>
      <c r="R187" s="27"/>
      <c r="S187" s="21"/>
      <c r="T187" s="28"/>
      <c r="U187" s="28"/>
      <c r="V187" s="28"/>
      <c r="W187" s="28"/>
      <c r="X187" s="28"/>
      <c r="Y187" s="19"/>
      <c r="Z187" s="18"/>
      <c r="AE187" s="19"/>
      <c r="AH187" s="24"/>
      <c r="AI187" s="30"/>
      <c r="AJ187" s="30"/>
      <c r="AK187" s="30"/>
      <c r="AL187" s="24"/>
      <c r="AM187" s="24"/>
    </row>
    <row r="188" ht="15.75" customHeight="1">
      <c r="B188" s="18"/>
      <c r="C188" s="18"/>
      <c r="D188" s="18"/>
      <c r="E188" s="18"/>
      <c r="F188" s="18"/>
      <c r="G188" s="19"/>
      <c r="H188" s="27"/>
      <c r="I188" s="27"/>
      <c r="J188" s="27"/>
      <c r="K188" s="27"/>
      <c r="L188" s="27"/>
      <c r="M188" s="21"/>
      <c r="N188" s="27"/>
      <c r="O188" s="27"/>
      <c r="P188" s="27"/>
      <c r="Q188" s="27"/>
      <c r="R188" s="27"/>
      <c r="S188" s="21"/>
      <c r="T188" s="28"/>
      <c r="U188" s="28"/>
      <c r="V188" s="28"/>
      <c r="W188" s="28"/>
      <c r="X188" s="28"/>
      <c r="Y188" s="19"/>
      <c r="Z188" s="18"/>
      <c r="AE188" s="19"/>
      <c r="AH188" s="24"/>
      <c r="AI188" s="30"/>
      <c r="AJ188" s="30"/>
      <c r="AK188" s="30"/>
      <c r="AL188" s="24"/>
      <c r="AM188" s="24"/>
    </row>
    <row r="189" ht="15.75" customHeight="1">
      <c r="B189" s="18"/>
      <c r="C189" s="18"/>
      <c r="D189" s="18"/>
      <c r="E189" s="18"/>
      <c r="F189" s="18"/>
      <c r="G189" s="19"/>
      <c r="H189" s="27"/>
      <c r="I189" s="27"/>
      <c r="J189" s="27"/>
      <c r="K189" s="27"/>
      <c r="L189" s="27"/>
      <c r="M189" s="21"/>
      <c r="N189" s="27"/>
      <c r="O189" s="27"/>
      <c r="P189" s="27"/>
      <c r="Q189" s="27"/>
      <c r="R189" s="27"/>
      <c r="S189" s="21"/>
      <c r="T189" s="28"/>
      <c r="U189" s="28"/>
      <c r="V189" s="28"/>
      <c r="W189" s="28"/>
      <c r="X189" s="28"/>
      <c r="Y189" s="19"/>
      <c r="Z189" s="18"/>
      <c r="AE189" s="19"/>
      <c r="AH189" s="24"/>
      <c r="AI189" s="30"/>
      <c r="AJ189" s="30"/>
      <c r="AK189" s="30"/>
      <c r="AL189" s="24"/>
      <c r="AM189" s="24"/>
    </row>
    <row r="190" ht="15.75" customHeight="1">
      <c r="B190" s="18"/>
      <c r="C190" s="18"/>
      <c r="D190" s="18"/>
      <c r="E190" s="18"/>
      <c r="F190" s="18"/>
      <c r="G190" s="19"/>
      <c r="H190" s="27"/>
      <c r="I190" s="27"/>
      <c r="J190" s="27"/>
      <c r="K190" s="27"/>
      <c r="L190" s="27"/>
      <c r="M190" s="21"/>
      <c r="N190" s="27"/>
      <c r="O190" s="27"/>
      <c r="P190" s="27"/>
      <c r="Q190" s="27"/>
      <c r="R190" s="27"/>
      <c r="S190" s="21"/>
      <c r="T190" s="28"/>
      <c r="U190" s="28"/>
      <c r="V190" s="28"/>
      <c r="W190" s="28"/>
      <c r="X190" s="28"/>
      <c r="Y190" s="19"/>
      <c r="Z190" s="18"/>
      <c r="AE190" s="19"/>
      <c r="AH190" s="24"/>
      <c r="AI190" s="30"/>
      <c r="AJ190" s="30"/>
      <c r="AK190" s="30"/>
      <c r="AL190" s="24"/>
      <c r="AM190" s="24"/>
    </row>
    <row r="191" ht="15.75" customHeight="1">
      <c r="B191" s="18"/>
      <c r="C191" s="18"/>
      <c r="D191" s="18"/>
      <c r="E191" s="18"/>
      <c r="F191" s="18"/>
      <c r="G191" s="19"/>
      <c r="H191" s="27"/>
      <c r="I191" s="27"/>
      <c r="J191" s="27"/>
      <c r="K191" s="27"/>
      <c r="L191" s="27"/>
      <c r="M191" s="21"/>
      <c r="N191" s="27"/>
      <c r="O191" s="27"/>
      <c r="P191" s="27"/>
      <c r="Q191" s="27"/>
      <c r="R191" s="27"/>
      <c r="S191" s="21"/>
      <c r="T191" s="28"/>
      <c r="U191" s="28"/>
      <c r="V191" s="28"/>
      <c r="W191" s="28"/>
      <c r="X191" s="28"/>
      <c r="Y191" s="19"/>
      <c r="Z191" s="18"/>
      <c r="AE191" s="19"/>
      <c r="AH191" s="24"/>
      <c r="AI191" s="30"/>
      <c r="AJ191" s="30"/>
      <c r="AK191" s="30"/>
      <c r="AL191" s="24"/>
      <c r="AM191" s="24"/>
    </row>
    <row r="192" ht="15.75" customHeight="1">
      <c r="B192" s="18"/>
      <c r="C192" s="18"/>
      <c r="D192" s="18"/>
      <c r="E192" s="18"/>
      <c r="F192" s="18"/>
      <c r="G192" s="19"/>
      <c r="H192" s="27"/>
      <c r="I192" s="27"/>
      <c r="J192" s="27"/>
      <c r="K192" s="27"/>
      <c r="L192" s="27"/>
      <c r="M192" s="21"/>
      <c r="N192" s="27"/>
      <c r="O192" s="27"/>
      <c r="P192" s="27"/>
      <c r="Q192" s="27"/>
      <c r="R192" s="27"/>
      <c r="S192" s="21"/>
      <c r="T192" s="28"/>
      <c r="U192" s="28"/>
      <c r="V192" s="28"/>
      <c r="W192" s="28"/>
      <c r="X192" s="28"/>
      <c r="Y192" s="19"/>
      <c r="Z192" s="18"/>
      <c r="AE192" s="19"/>
      <c r="AH192" s="24"/>
      <c r="AI192" s="30"/>
      <c r="AJ192" s="30"/>
      <c r="AK192" s="30"/>
      <c r="AL192" s="24"/>
      <c r="AM192" s="24"/>
    </row>
    <row r="193" ht="15.75" customHeight="1">
      <c r="B193" s="18"/>
      <c r="C193" s="18"/>
      <c r="D193" s="18"/>
      <c r="E193" s="18"/>
      <c r="F193" s="18"/>
      <c r="G193" s="19"/>
      <c r="H193" s="27"/>
      <c r="I193" s="27"/>
      <c r="J193" s="27"/>
      <c r="K193" s="27"/>
      <c r="L193" s="27"/>
      <c r="M193" s="21"/>
      <c r="N193" s="27"/>
      <c r="O193" s="27"/>
      <c r="P193" s="27"/>
      <c r="Q193" s="27"/>
      <c r="R193" s="27"/>
      <c r="S193" s="21"/>
      <c r="T193" s="28"/>
      <c r="U193" s="28"/>
      <c r="V193" s="28"/>
      <c r="W193" s="28"/>
      <c r="X193" s="28"/>
      <c r="Y193" s="19"/>
      <c r="Z193" s="18"/>
      <c r="AE193" s="19"/>
      <c r="AH193" s="24"/>
      <c r="AI193" s="30"/>
      <c r="AJ193" s="30"/>
      <c r="AK193" s="30"/>
      <c r="AL193" s="24"/>
      <c r="AM193" s="24"/>
    </row>
    <row r="194" ht="15.75" customHeight="1">
      <c r="B194" s="18"/>
      <c r="C194" s="18"/>
      <c r="D194" s="18"/>
      <c r="E194" s="18"/>
      <c r="F194" s="18"/>
      <c r="G194" s="19"/>
      <c r="H194" s="27"/>
      <c r="I194" s="27"/>
      <c r="J194" s="27"/>
      <c r="K194" s="27"/>
      <c r="L194" s="27"/>
      <c r="M194" s="21"/>
      <c r="N194" s="27"/>
      <c r="O194" s="27"/>
      <c r="P194" s="27"/>
      <c r="Q194" s="27"/>
      <c r="R194" s="27"/>
      <c r="S194" s="21"/>
      <c r="T194" s="28"/>
      <c r="U194" s="28"/>
      <c r="V194" s="28"/>
      <c r="W194" s="28"/>
      <c r="X194" s="28"/>
      <c r="Y194" s="19"/>
      <c r="Z194" s="18"/>
      <c r="AE194" s="19"/>
      <c r="AH194" s="24"/>
      <c r="AI194" s="30"/>
      <c r="AJ194" s="30"/>
      <c r="AK194" s="30"/>
      <c r="AL194" s="24"/>
      <c r="AM194" s="24"/>
    </row>
    <row r="195" ht="15.75" customHeight="1">
      <c r="B195" s="18"/>
      <c r="C195" s="18"/>
      <c r="D195" s="18"/>
      <c r="E195" s="18"/>
      <c r="F195" s="18"/>
      <c r="G195" s="19"/>
      <c r="H195" s="27"/>
      <c r="I195" s="27"/>
      <c r="J195" s="27"/>
      <c r="K195" s="27"/>
      <c r="L195" s="27"/>
      <c r="M195" s="21"/>
      <c r="N195" s="27"/>
      <c r="O195" s="27"/>
      <c r="P195" s="27"/>
      <c r="Q195" s="27"/>
      <c r="R195" s="27"/>
      <c r="S195" s="21"/>
      <c r="T195" s="28"/>
      <c r="U195" s="28"/>
      <c r="V195" s="28"/>
      <c r="W195" s="28"/>
      <c r="X195" s="28"/>
      <c r="Y195" s="19"/>
      <c r="Z195" s="18"/>
      <c r="AE195" s="19"/>
      <c r="AH195" s="24"/>
      <c r="AI195" s="30"/>
      <c r="AJ195" s="30"/>
      <c r="AK195" s="30"/>
      <c r="AL195" s="24"/>
      <c r="AM195" s="24"/>
    </row>
    <row r="196" ht="15.75" customHeight="1">
      <c r="B196" s="18"/>
      <c r="C196" s="18"/>
      <c r="D196" s="18"/>
      <c r="E196" s="18"/>
      <c r="F196" s="18"/>
      <c r="G196" s="19"/>
      <c r="H196" s="27"/>
      <c r="I196" s="27"/>
      <c r="J196" s="27"/>
      <c r="K196" s="27"/>
      <c r="L196" s="27"/>
      <c r="M196" s="21"/>
      <c r="N196" s="27"/>
      <c r="O196" s="27"/>
      <c r="P196" s="27"/>
      <c r="Q196" s="27"/>
      <c r="R196" s="27"/>
      <c r="S196" s="21"/>
      <c r="T196" s="28"/>
      <c r="U196" s="28"/>
      <c r="V196" s="28"/>
      <c r="W196" s="28"/>
      <c r="X196" s="28"/>
      <c r="Y196" s="19"/>
      <c r="Z196" s="18"/>
      <c r="AE196" s="19"/>
      <c r="AH196" s="24"/>
      <c r="AI196" s="30"/>
      <c r="AJ196" s="30"/>
      <c r="AK196" s="30"/>
      <c r="AL196" s="24"/>
      <c r="AM196" s="24"/>
    </row>
    <row r="197" ht="15.75" customHeight="1">
      <c r="B197" s="18"/>
      <c r="C197" s="18"/>
      <c r="D197" s="18"/>
      <c r="E197" s="18"/>
      <c r="F197" s="18"/>
      <c r="G197" s="19"/>
      <c r="H197" s="27"/>
      <c r="I197" s="27"/>
      <c r="J197" s="27"/>
      <c r="K197" s="27"/>
      <c r="L197" s="27"/>
      <c r="M197" s="21"/>
      <c r="N197" s="27"/>
      <c r="O197" s="27"/>
      <c r="P197" s="27"/>
      <c r="Q197" s="27"/>
      <c r="R197" s="27"/>
      <c r="S197" s="21"/>
      <c r="T197" s="28"/>
      <c r="U197" s="28"/>
      <c r="V197" s="28"/>
      <c r="W197" s="28"/>
      <c r="X197" s="28"/>
      <c r="Y197" s="19"/>
      <c r="Z197" s="18"/>
      <c r="AE197" s="19"/>
      <c r="AH197" s="24"/>
      <c r="AI197" s="30"/>
      <c r="AJ197" s="30"/>
      <c r="AK197" s="30"/>
      <c r="AL197" s="24"/>
      <c r="AM197" s="24"/>
    </row>
    <row r="198" ht="15.75" customHeight="1">
      <c r="B198" s="18"/>
      <c r="C198" s="18"/>
      <c r="D198" s="18"/>
      <c r="E198" s="18"/>
      <c r="F198" s="18"/>
      <c r="G198" s="19"/>
      <c r="H198" s="27"/>
      <c r="I198" s="27"/>
      <c r="J198" s="27"/>
      <c r="K198" s="27"/>
      <c r="L198" s="27"/>
      <c r="M198" s="21"/>
      <c r="N198" s="27"/>
      <c r="O198" s="27"/>
      <c r="P198" s="27"/>
      <c r="Q198" s="27"/>
      <c r="R198" s="27"/>
      <c r="S198" s="21"/>
      <c r="T198" s="28"/>
      <c r="U198" s="28"/>
      <c r="V198" s="28"/>
      <c r="W198" s="28"/>
      <c r="X198" s="28"/>
      <c r="Y198" s="19"/>
      <c r="Z198" s="18"/>
      <c r="AE198" s="19"/>
      <c r="AH198" s="24"/>
      <c r="AI198" s="30"/>
      <c r="AJ198" s="30"/>
      <c r="AK198" s="30"/>
      <c r="AL198" s="24"/>
      <c r="AM198" s="24"/>
    </row>
    <row r="199" ht="15.75" customHeight="1">
      <c r="B199" s="18"/>
      <c r="C199" s="18"/>
      <c r="D199" s="18"/>
      <c r="E199" s="18"/>
      <c r="F199" s="18"/>
      <c r="G199" s="19"/>
      <c r="H199" s="27"/>
      <c r="I199" s="27"/>
      <c r="J199" s="27"/>
      <c r="K199" s="27"/>
      <c r="L199" s="27"/>
      <c r="M199" s="21"/>
      <c r="N199" s="27"/>
      <c r="O199" s="27"/>
      <c r="P199" s="27"/>
      <c r="Q199" s="27"/>
      <c r="R199" s="27"/>
      <c r="S199" s="21"/>
      <c r="T199" s="28"/>
      <c r="U199" s="28"/>
      <c r="V199" s="28"/>
      <c r="W199" s="28"/>
      <c r="X199" s="28"/>
      <c r="Y199" s="19"/>
      <c r="Z199" s="18"/>
      <c r="AE199" s="19"/>
      <c r="AH199" s="24"/>
      <c r="AI199" s="30"/>
      <c r="AJ199" s="30"/>
      <c r="AK199" s="30"/>
      <c r="AL199" s="24"/>
      <c r="AM199" s="24"/>
    </row>
    <row r="200" ht="15.75" customHeight="1">
      <c r="B200" s="18"/>
      <c r="C200" s="18"/>
      <c r="D200" s="18"/>
      <c r="E200" s="18"/>
      <c r="F200" s="18"/>
      <c r="G200" s="19"/>
      <c r="H200" s="27"/>
      <c r="I200" s="27"/>
      <c r="J200" s="27"/>
      <c r="K200" s="27"/>
      <c r="L200" s="27"/>
      <c r="M200" s="21"/>
      <c r="N200" s="27"/>
      <c r="O200" s="27"/>
      <c r="P200" s="27"/>
      <c r="Q200" s="27"/>
      <c r="R200" s="27"/>
      <c r="S200" s="21"/>
      <c r="T200" s="28"/>
      <c r="U200" s="28"/>
      <c r="V200" s="28"/>
      <c r="W200" s="28"/>
      <c r="X200" s="28"/>
      <c r="Y200" s="19"/>
      <c r="Z200" s="18"/>
      <c r="AE200" s="19"/>
      <c r="AH200" s="24"/>
      <c r="AI200" s="30"/>
      <c r="AJ200" s="30"/>
      <c r="AK200" s="30"/>
      <c r="AL200" s="24"/>
      <c r="AM200" s="24"/>
    </row>
    <row r="201" ht="15.75" customHeight="1">
      <c r="B201" s="18"/>
      <c r="C201" s="18"/>
      <c r="D201" s="18"/>
      <c r="E201" s="18"/>
      <c r="F201" s="18"/>
      <c r="G201" s="19"/>
      <c r="H201" s="27"/>
      <c r="I201" s="27"/>
      <c r="J201" s="27"/>
      <c r="K201" s="27"/>
      <c r="L201" s="27"/>
      <c r="M201" s="21"/>
      <c r="N201" s="27"/>
      <c r="O201" s="27"/>
      <c r="P201" s="27"/>
      <c r="Q201" s="27"/>
      <c r="R201" s="27"/>
      <c r="S201" s="21"/>
      <c r="T201" s="28"/>
      <c r="U201" s="28"/>
      <c r="V201" s="28"/>
      <c r="W201" s="28"/>
      <c r="X201" s="28"/>
      <c r="Y201" s="19"/>
      <c r="Z201" s="18"/>
      <c r="AE201" s="19"/>
      <c r="AH201" s="24"/>
      <c r="AI201" s="30"/>
      <c r="AJ201" s="30"/>
      <c r="AK201" s="30"/>
      <c r="AL201" s="24"/>
      <c r="AM201" s="24"/>
    </row>
    <row r="202" ht="15.75" customHeight="1">
      <c r="B202" s="18"/>
      <c r="C202" s="18"/>
      <c r="D202" s="18"/>
      <c r="E202" s="18"/>
      <c r="F202" s="18"/>
      <c r="G202" s="19"/>
      <c r="H202" s="27"/>
      <c r="I202" s="27"/>
      <c r="J202" s="27"/>
      <c r="K202" s="27"/>
      <c r="L202" s="27"/>
      <c r="M202" s="21"/>
      <c r="N202" s="27"/>
      <c r="O202" s="27"/>
      <c r="P202" s="27"/>
      <c r="Q202" s="27"/>
      <c r="R202" s="27"/>
      <c r="S202" s="21"/>
      <c r="T202" s="28"/>
      <c r="U202" s="28"/>
      <c r="V202" s="28"/>
      <c r="W202" s="28"/>
      <c r="X202" s="28"/>
      <c r="Y202" s="19"/>
      <c r="Z202" s="18"/>
      <c r="AE202" s="19"/>
      <c r="AH202" s="24"/>
      <c r="AI202" s="30"/>
      <c r="AJ202" s="30"/>
      <c r="AK202" s="30"/>
      <c r="AL202" s="24"/>
      <c r="AM202" s="24"/>
    </row>
    <row r="203" ht="15.75" customHeight="1">
      <c r="B203" s="18"/>
      <c r="C203" s="18"/>
      <c r="D203" s="18"/>
      <c r="E203" s="18"/>
      <c r="F203" s="18"/>
      <c r="G203" s="19"/>
      <c r="H203" s="27"/>
      <c r="I203" s="27"/>
      <c r="J203" s="27"/>
      <c r="K203" s="27"/>
      <c r="L203" s="27"/>
      <c r="M203" s="21"/>
      <c r="N203" s="27"/>
      <c r="O203" s="27"/>
      <c r="P203" s="27"/>
      <c r="Q203" s="27"/>
      <c r="R203" s="27"/>
      <c r="S203" s="21"/>
      <c r="T203" s="28"/>
      <c r="U203" s="28"/>
      <c r="V203" s="28"/>
      <c r="W203" s="28"/>
      <c r="X203" s="28"/>
      <c r="Y203" s="19"/>
      <c r="Z203" s="18"/>
      <c r="AE203" s="19"/>
      <c r="AH203" s="24"/>
      <c r="AI203" s="30"/>
      <c r="AJ203" s="30"/>
      <c r="AK203" s="30"/>
      <c r="AL203" s="24"/>
      <c r="AM203" s="24"/>
    </row>
    <row r="204" ht="15.75" customHeight="1">
      <c r="B204" s="18"/>
      <c r="C204" s="18"/>
      <c r="D204" s="18"/>
      <c r="E204" s="18"/>
      <c r="F204" s="18"/>
      <c r="G204" s="19"/>
      <c r="H204" s="27"/>
      <c r="I204" s="27"/>
      <c r="J204" s="27"/>
      <c r="K204" s="27"/>
      <c r="L204" s="27"/>
      <c r="M204" s="21"/>
      <c r="N204" s="27"/>
      <c r="O204" s="27"/>
      <c r="P204" s="27"/>
      <c r="Q204" s="27"/>
      <c r="R204" s="27"/>
      <c r="S204" s="21"/>
      <c r="T204" s="28"/>
      <c r="U204" s="28"/>
      <c r="V204" s="28"/>
      <c r="W204" s="28"/>
      <c r="X204" s="28"/>
      <c r="Y204" s="19"/>
      <c r="Z204" s="18"/>
      <c r="AE204" s="19"/>
      <c r="AH204" s="24"/>
      <c r="AI204" s="30"/>
      <c r="AJ204" s="30"/>
      <c r="AK204" s="30"/>
      <c r="AL204" s="24"/>
      <c r="AM204" s="24"/>
    </row>
    <row r="205" ht="15.75" customHeight="1">
      <c r="B205" s="18"/>
      <c r="C205" s="18"/>
      <c r="D205" s="18"/>
      <c r="E205" s="18"/>
      <c r="F205" s="18"/>
      <c r="G205" s="19"/>
      <c r="H205" s="27"/>
      <c r="I205" s="27"/>
      <c r="J205" s="27"/>
      <c r="K205" s="27"/>
      <c r="L205" s="27"/>
      <c r="M205" s="21"/>
      <c r="N205" s="27"/>
      <c r="O205" s="27"/>
      <c r="P205" s="27"/>
      <c r="Q205" s="27"/>
      <c r="R205" s="27"/>
      <c r="S205" s="21"/>
      <c r="T205" s="28"/>
      <c r="U205" s="28"/>
      <c r="V205" s="28"/>
      <c r="W205" s="28"/>
      <c r="X205" s="28"/>
      <c r="Y205" s="19"/>
      <c r="Z205" s="18"/>
      <c r="AE205" s="19"/>
      <c r="AH205" s="24"/>
      <c r="AI205" s="30"/>
      <c r="AJ205" s="30"/>
      <c r="AK205" s="30"/>
      <c r="AL205" s="24"/>
      <c r="AM205" s="24"/>
    </row>
    <row r="206" ht="15.75" customHeight="1">
      <c r="B206" s="18"/>
      <c r="C206" s="18"/>
      <c r="D206" s="18"/>
      <c r="E206" s="18"/>
      <c r="F206" s="18"/>
      <c r="G206" s="19"/>
      <c r="H206" s="27"/>
      <c r="I206" s="27"/>
      <c r="J206" s="27"/>
      <c r="K206" s="27"/>
      <c r="L206" s="27"/>
      <c r="M206" s="21"/>
      <c r="N206" s="27"/>
      <c r="O206" s="27"/>
      <c r="P206" s="27"/>
      <c r="Q206" s="27"/>
      <c r="R206" s="27"/>
      <c r="S206" s="21"/>
      <c r="T206" s="28"/>
      <c r="U206" s="28"/>
      <c r="V206" s="28"/>
      <c r="W206" s="28"/>
      <c r="X206" s="28"/>
      <c r="Y206" s="19"/>
      <c r="Z206" s="18"/>
      <c r="AE206" s="19"/>
      <c r="AH206" s="24"/>
      <c r="AI206" s="30"/>
      <c r="AJ206" s="30"/>
      <c r="AK206" s="30"/>
      <c r="AL206" s="24"/>
      <c r="AM206" s="24"/>
    </row>
    <row r="207" ht="15.75" customHeight="1">
      <c r="B207" s="18"/>
      <c r="C207" s="18"/>
      <c r="D207" s="18"/>
      <c r="E207" s="18"/>
      <c r="F207" s="18"/>
      <c r="G207" s="19"/>
      <c r="H207" s="27"/>
      <c r="I207" s="27"/>
      <c r="J207" s="27"/>
      <c r="K207" s="27"/>
      <c r="L207" s="27"/>
      <c r="M207" s="21"/>
      <c r="N207" s="27"/>
      <c r="O207" s="27"/>
      <c r="P207" s="27"/>
      <c r="Q207" s="27"/>
      <c r="R207" s="27"/>
      <c r="S207" s="21"/>
      <c r="T207" s="28"/>
      <c r="U207" s="28"/>
      <c r="V207" s="28"/>
      <c r="W207" s="28"/>
      <c r="X207" s="28"/>
      <c r="Y207" s="19"/>
      <c r="Z207" s="18"/>
      <c r="AE207" s="19"/>
      <c r="AH207" s="24"/>
      <c r="AI207" s="30"/>
      <c r="AJ207" s="30"/>
      <c r="AK207" s="30"/>
      <c r="AL207" s="24"/>
      <c r="AM207" s="24"/>
    </row>
    <row r="208" ht="15.75" customHeight="1">
      <c r="B208" s="18"/>
      <c r="C208" s="18"/>
      <c r="D208" s="18"/>
      <c r="E208" s="18"/>
      <c r="F208" s="18"/>
      <c r="G208" s="19"/>
      <c r="H208" s="27"/>
      <c r="I208" s="27"/>
      <c r="J208" s="27"/>
      <c r="K208" s="27"/>
      <c r="L208" s="27"/>
      <c r="M208" s="21"/>
      <c r="N208" s="27"/>
      <c r="O208" s="27"/>
      <c r="P208" s="27"/>
      <c r="Q208" s="27"/>
      <c r="R208" s="27"/>
      <c r="S208" s="21"/>
      <c r="T208" s="28"/>
      <c r="U208" s="28"/>
      <c r="V208" s="28"/>
      <c r="W208" s="28"/>
      <c r="X208" s="28"/>
      <c r="Y208" s="19"/>
      <c r="Z208" s="18"/>
      <c r="AE208" s="19"/>
      <c r="AH208" s="24"/>
      <c r="AI208" s="30"/>
      <c r="AJ208" s="30"/>
      <c r="AK208" s="30"/>
      <c r="AL208" s="24"/>
      <c r="AM208" s="24"/>
    </row>
    <row r="209" ht="15.75" customHeight="1">
      <c r="B209" s="18"/>
      <c r="C209" s="18"/>
      <c r="D209" s="18"/>
      <c r="E209" s="18"/>
      <c r="F209" s="18"/>
      <c r="G209" s="19"/>
      <c r="H209" s="27"/>
      <c r="I209" s="27"/>
      <c r="J209" s="27"/>
      <c r="K209" s="27"/>
      <c r="L209" s="27"/>
      <c r="M209" s="21"/>
      <c r="N209" s="27"/>
      <c r="O209" s="27"/>
      <c r="P209" s="27"/>
      <c r="Q209" s="27"/>
      <c r="R209" s="27"/>
      <c r="S209" s="21"/>
      <c r="T209" s="28"/>
      <c r="U209" s="28"/>
      <c r="V209" s="28"/>
      <c r="W209" s="28"/>
      <c r="X209" s="28"/>
      <c r="Y209" s="19"/>
      <c r="Z209" s="18"/>
      <c r="AE209" s="19"/>
      <c r="AH209" s="24"/>
      <c r="AI209" s="30"/>
      <c r="AJ209" s="30"/>
      <c r="AK209" s="30"/>
      <c r="AL209" s="24"/>
      <c r="AM209" s="24"/>
    </row>
    <row r="210" ht="15.75" customHeight="1">
      <c r="B210" s="18"/>
      <c r="C210" s="18"/>
      <c r="D210" s="18"/>
      <c r="E210" s="18"/>
      <c r="F210" s="18"/>
      <c r="G210" s="19"/>
      <c r="H210" s="27"/>
      <c r="I210" s="27"/>
      <c r="J210" s="27"/>
      <c r="K210" s="27"/>
      <c r="L210" s="27"/>
      <c r="M210" s="21"/>
      <c r="N210" s="27"/>
      <c r="O210" s="27"/>
      <c r="P210" s="27"/>
      <c r="Q210" s="27"/>
      <c r="R210" s="27"/>
      <c r="S210" s="21"/>
      <c r="T210" s="28"/>
      <c r="U210" s="28"/>
      <c r="V210" s="28"/>
      <c r="W210" s="28"/>
      <c r="X210" s="28"/>
      <c r="Y210" s="19"/>
      <c r="Z210" s="18"/>
      <c r="AE210" s="19"/>
      <c r="AH210" s="24"/>
      <c r="AI210" s="30"/>
      <c r="AJ210" s="30"/>
      <c r="AK210" s="30"/>
      <c r="AL210" s="24"/>
      <c r="AM210" s="24"/>
    </row>
    <row r="211" ht="15.75" customHeight="1">
      <c r="B211" s="18"/>
      <c r="C211" s="18"/>
      <c r="D211" s="18"/>
      <c r="E211" s="18"/>
      <c r="F211" s="18"/>
      <c r="G211" s="19"/>
      <c r="H211" s="27"/>
      <c r="I211" s="27"/>
      <c r="J211" s="27"/>
      <c r="K211" s="27"/>
      <c r="L211" s="27"/>
      <c r="M211" s="21"/>
      <c r="N211" s="27"/>
      <c r="O211" s="27"/>
      <c r="P211" s="27"/>
      <c r="Q211" s="27"/>
      <c r="R211" s="27"/>
      <c r="S211" s="21"/>
      <c r="T211" s="28"/>
      <c r="U211" s="28"/>
      <c r="V211" s="28"/>
      <c r="W211" s="28"/>
      <c r="X211" s="28"/>
      <c r="Y211" s="19"/>
      <c r="Z211" s="18"/>
      <c r="AE211" s="19"/>
      <c r="AH211" s="24"/>
      <c r="AI211" s="30"/>
      <c r="AJ211" s="30"/>
      <c r="AK211" s="30"/>
      <c r="AL211" s="24"/>
      <c r="AM211" s="24"/>
    </row>
    <row r="212" ht="15.75" customHeight="1">
      <c r="B212" s="18"/>
      <c r="C212" s="18"/>
      <c r="D212" s="18"/>
      <c r="E212" s="18"/>
      <c r="F212" s="18"/>
      <c r="G212" s="19"/>
      <c r="H212" s="27"/>
      <c r="I212" s="27"/>
      <c r="J212" s="27"/>
      <c r="K212" s="27"/>
      <c r="L212" s="27"/>
      <c r="M212" s="21"/>
      <c r="N212" s="27"/>
      <c r="O212" s="27"/>
      <c r="P212" s="27"/>
      <c r="Q212" s="27"/>
      <c r="R212" s="27"/>
      <c r="S212" s="21"/>
      <c r="T212" s="28"/>
      <c r="U212" s="28"/>
      <c r="V212" s="28"/>
      <c r="W212" s="28"/>
      <c r="X212" s="28"/>
      <c r="Y212" s="19"/>
      <c r="Z212" s="18"/>
      <c r="AE212" s="19"/>
      <c r="AH212" s="24"/>
      <c r="AI212" s="30"/>
      <c r="AJ212" s="30"/>
      <c r="AK212" s="30"/>
      <c r="AL212" s="24"/>
      <c r="AM212" s="24"/>
    </row>
    <row r="213" ht="15.75" customHeight="1">
      <c r="B213" s="18"/>
      <c r="C213" s="18"/>
      <c r="D213" s="18"/>
      <c r="E213" s="18"/>
      <c r="F213" s="18"/>
      <c r="G213" s="19"/>
      <c r="H213" s="27"/>
      <c r="I213" s="27"/>
      <c r="J213" s="27"/>
      <c r="K213" s="27"/>
      <c r="L213" s="27"/>
      <c r="M213" s="21"/>
      <c r="N213" s="27"/>
      <c r="O213" s="27"/>
      <c r="P213" s="27"/>
      <c r="Q213" s="27"/>
      <c r="R213" s="27"/>
      <c r="S213" s="21"/>
      <c r="T213" s="28"/>
      <c r="U213" s="28"/>
      <c r="V213" s="28"/>
      <c r="W213" s="28"/>
      <c r="X213" s="28"/>
      <c r="Y213" s="19"/>
      <c r="Z213" s="18"/>
      <c r="AE213" s="19"/>
      <c r="AH213" s="24"/>
      <c r="AI213" s="30"/>
      <c r="AJ213" s="30"/>
      <c r="AK213" s="30"/>
      <c r="AL213" s="24"/>
      <c r="AM213" s="24"/>
    </row>
    <row r="214" ht="15.75" customHeight="1">
      <c r="B214" s="18"/>
      <c r="C214" s="18"/>
      <c r="D214" s="18"/>
      <c r="E214" s="18"/>
      <c r="F214" s="18"/>
      <c r="G214" s="19"/>
      <c r="H214" s="27"/>
      <c r="I214" s="27"/>
      <c r="J214" s="27"/>
      <c r="K214" s="27"/>
      <c r="L214" s="27"/>
      <c r="M214" s="21"/>
      <c r="N214" s="27"/>
      <c r="O214" s="27"/>
      <c r="P214" s="27"/>
      <c r="Q214" s="27"/>
      <c r="R214" s="27"/>
      <c r="S214" s="21"/>
      <c r="T214" s="28"/>
      <c r="U214" s="28"/>
      <c r="V214" s="28"/>
      <c r="W214" s="28"/>
      <c r="X214" s="28"/>
      <c r="Y214" s="19"/>
      <c r="Z214" s="18"/>
      <c r="AE214" s="19"/>
      <c r="AH214" s="24"/>
      <c r="AI214" s="30"/>
      <c r="AJ214" s="30"/>
      <c r="AK214" s="30"/>
      <c r="AL214" s="24"/>
      <c r="AM214" s="24"/>
    </row>
    <row r="215" ht="15.75" customHeight="1">
      <c r="B215" s="18"/>
      <c r="C215" s="18"/>
      <c r="D215" s="18"/>
      <c r="E215" s="18"/>
      <c r="F215" s="18"/>
      <c r="G215" s="19"/>
      <c r="H215" s="27"/>
      <c r="I215" s="27"/>
      <c r="J215" s="27"/>
      <c r="K215" s="27"/>
      <c r="L215" s="27"/>
      <c r="M215" s="21"/>
      <c r="N215" s="27"/>
      <c r="O215" s="27"/>
      <c r="P215" s="27"/>
      <c r="Q215" s="27"/>
      <c r="R215" s="27"/>
      <c r="S215" s="21"/>
      <c r="T215" s="28"/>
      <c r="U215" s="28"/>
      <c r="V215" s="28"/>
      <c r="W215" s="28"/>
      <c r="X215" s="28"/>
      <c r="Y215" s="19"/>
      <c r="Z215" s="18"/>
      <c r="AE215" s="19"/>
      <c r="AH215" s="24"/>
      <c r="AI215" s="30"/>
      <c r="AJ215" s="30"/>
      <c r="AK215" s="30"/>
      <c r="AL215" s="24"/>
      <c r="AM215" s="24"/>
    </row>
    <row r="216" ht="15.75" customHeight="1">
      <c r="B216" s="18"/>
      <c r="C216" s="18"/>
      <c r="D216" s="18"/>
      <c r="E216" s="18"/>
      <c r="F216" s="18"/>
      <c r="G216" s="19"/>
      <c r="H216" s="27"/>
      <c r="I216" s="27"/>
      <c r="J216" s="27"/>
      <c r="K216" s="27"/>
      <c r="L216" s="27"/>
      <c r="M216" s="21"/>
      <c r="N216" s="27"/>
      <c r="O216" s="27"/>
      <c r="P216" s="27"/>
      <c r="Q216" s="27"/>
      <c r="R216" s="27"/>
      <c r="S216" s="21"/>
      <c r="T216" s="28"/>
      <c r="U216" s="28"/>
      <c r="V216" s="28"/>
      <c r="W216" s="28"/>
      <c r="X216" s="28"/>
      <c r="Y216" s="19"/>
      <c r="Z216" s="18"/>
      <c r="AE216" s="19"/>
      <c r="AH216" s="24"/>
      <c r="AI216" s="30"/>
      <c r="AJ216" s="30"/>
      <c r="AK216" s="30"/>
      <c r="AL216" s="24"/>
      <c r="AM216" s="24"/>
    </row>
    <row r="217" ht="15.75" customHeight="1">
      <c r="B217" s="18"/>
      <c r="C217" s="18"/>
      <c r="D217" s="18"/>
      <c r="E217" s="18"/>
      <c r="F217" s="18"/>
      <c r="G217" s="19"/>
      <c r="H217" s="27"/>
      <c r="I217" s="27"/>
      <c r="J217" s="27"/>
      <c r="K217" s="27"/>
      <c r="L217" s="27"/>
      <c r="M217" s="21"/>
      <c r="N217" s="27"/>
      <c r="O217" s="27"/>
      <c r="P217" s="27"/>
      <c r="Q217" s="27"/>
      <c r="R217" s="27"/>
      <c r="S217" s="21"/>
      <c r="T217" s="28"/>
      <c r="U217" s="28"/>
      <c r="V217" s="28"/>
      <c r="W217" s="28"/>
      <c r="X217" s="28"/>
      <c r="Y217" s="19"/>
      <c r="Z217" s="18"/>
      <c r="AE217" s="19"/>
      <c r="AH217" s="24"/>
      <c r="AI217" s="30"/>
      <c r="AJ217" s="30"/>
      <c r="AK217" s="30"/>
      <c r="AL217" s="24"/>
      <c r="AM217" s="24"/>
    </row>
    <row r="218" ht="15.75" customHeight="1">
      <c r="B218" s="18"/>
      <c r="C218" s="18"/>
      <c r="D218" s="18"/>
      <c r="E218" s="18"/>
      <c r="F218" s="18"/>
      <c r="G218" s="19"/>
      <c r="H218" s="27"/>
      <c r="I218" s="27"/>
      <c r="J218" s="27"/>
      <c r="K218" s="27"/>
      <c r="L218" s="27"/>
      <c r="M218" s="21"/>
      <c r="N218" s="27"/>
      <c r="O218" s="27"/>
      <c r="P218" s="27"/>
      <c r="Q218" s="27"/>
      <c r="R218" s="27"/>
      <c r="S218" s="21"/>
      <c r="T218" s="28"/>
      <c r="U218" s="28"/>
      <c r="V218" s="28"/>
      <c r="W218" s="28"/>
      <c r="X218" s="28"/>
      <c r="Y218" s="19"/>
      <c r="Z218" s="18"/>
      <c r="AE218" s="19"/>
      <c r="AH218" s="24"/>
      <c r="AI218" s="30"/>
      <c r="AJ218" s="30"/>
      <c r="AK218" s="30"/>
      <c r="AL218" s="24"/>
      <c r="AM218" s="24"/>
    </row>
    <row r="219" ht="15.75" customHeight="1">
      <c r="B219" s="18"/>
      <c r="C219" s="18"/>
      <c r="D219" s="18"/>
      <c r="E219" s="18"/>
      <c r="F219" s="18"/>
      <c r="G219" s="19"/>
      <c r="H219" s="27"/>
      <c r="I219" s="27"/>
      <c r="J219" s="27"/>
      <c r="K219" s="27"/>
      <c r="L219" s="27"/>
      <c r="M219" s="21"/>
      <c r="N219" s="27"/>
      <c r="O219" s="27"/>
      <c r="P219" s="27"/>
      <c r="Q219" s="27"/>
      <c r="R219" s="27"/>
      <c r="S219" s="21"/>
      <c r="T219" s="28"/>
      <c r="U219" s="28"/>
      <c r="V219" s="28"/>
      <c r="W219" s="28"/>
      <c r="X219" s="28"/>
      <c r="Y219" s="19"/>
      <c r="Z219" s="18"/>
      <c r="AE219" s="19"/>
      <c r="AH219" s="24"/>
      <c r="AI219" s="30"/>
      <c r="AJ219" s="30"/>
      <c r="AK219" s="30"/>
      <c r="AL219" s="24"/>
      <c r="AM219" s="24"/>
    </row>
    <row r="220" ht="15.75" customHeight="1">
      <c r="B220" s="18"/>
      <c r="C220" s="18"/>
      <c r="D220" s="18"/>
      <c r="E220" s="18"/>
      <c r="F220" s="18"/>
      <c r="G220" s="19"/>
      <c r="H220" s="27"/>
      <c r="I220" s="27"/>
      <c r="J220" s="27"/>
      <c r="K220" s="27"/>
      <c r="L220" s="27"/>
      <c r="M220" s="21"/>
      <c r="N220" s="27"/>
      <c r="O220" s="27"/>
      <c r="P220" s="27"/>
      <c r="Q220" s="27"/>
      <c r="R220" s="27"/>
      <c r="S220" s="21"/>
      <c r="T220" s="28"/>
      <c r="U220" s="28"/>
      <c r="V220" s="28"/>
      <c r="W220" s="28"/>
      <c r="X220" s="28"/>
      <c r="Y220" s="19"/>
      <c r="Z220" s="18"/>
      <c r="AE220" s="19"/>
      <c r="AH220" s="24"/>
      <c r="AI220" s="30"/>
      <c r="AJ220" s="30"/>
      <c r="AK220" s="30"/>
      <c r="AL220" s="24"/>
      <c r="AM220" s="24"/>
    </row>
    <row r="221" ht="15.75" customHeight="1">
      <c r="B221" s="18"/>
      <c r="C221" s="18"/>
      <c r="D221" s="18"/>
      <c r="E221" s="18"/>
      <c r="F221" s="18"/>
      <c r="G221" s="19"/>
      <c r="H221" s="27"/>
      <c r="I221" s="27"/>
      <c r="J221" s="27"/>
      <c r="K221" s="27"/>
      <c r="L221" s="27"/>
      <c r="M221" s="21"/>
      <c r="N221" s="27"/>
      <c r="O221" s="27"/>
      <c r="P221" s="27"/>
      <c r="Q221" s="27"/>
      <c r="R221" s="27"/>
      <c r="S221" s="21"/>
      <c r="T221" s="28"/>
      <c r="U221" s="28"/>
      <c r="V221" s="28"/>
      <c r="W221" s="28"/>
      <c r="X221" s="28"/>
      <c r="Y221" s="19"/>
      <c r="Z221" s="18"/>
      <c r="AE221" s="19"/>
      <c r="AH221" s="24"/>
      <c r="AI221" s="30"/>
      <c r="AJ221" s="30"/>
      <c r="AK221" s="30"/>
      <c r="AL221" s="24"/>
      <c r="AM221" s="24"/>
    </row>
    <row r="222" ht="15.75" customHeight="1">
      <c r="B222" s="18"/>
      <c r="C222" s="18"/>
      <c r="D222" s="18"/>
      <c r="E222" s="18"/>
      <c r="F222" s="18"/>
      <c r="G222" s="19"/>
      <c r="H222" s="27"/>
      <c r="I222" s="27"/>
      <c r="J222" s="27"/>
      <c r="K222" s="27"/>
      <c r="L222" s="27"/>
      <c r="M222" s="21"/>
      <c r="N222" s="27"/>
      <c r="O222" s="27"/>
      <c r="P222" s="27"/>
      <c r="Q222" s="27"/>
      <c r="R222" s="27"/>
      <c r="S222" s="21"/>
      <c r="T222" s="28"/>
      <c r="U222" s="28"/>
      <c r="V222" s="28"/>
      <c r="W222" s="28"/>
      <c r="X222" s="28"/>
      <c r="Y222" s="19"/>
      <c r="Z222" s="18"/>
      <c r="AE222" s="19"/>
      <c r="AH222" s="24"/>
      <c r="AI222" s="30"/>
      <c r="AJ222" s="30"/>
      <c r="AK222" s="30"/>
      <c r="AL222" s="24"/>
      <c r="AM222" s="24"/>
    </row>
    <row r="223" ht="15.75" customHeight="1">
      <c r="B223" s="18"/>
      <c r="C223" s="18"/>
      <c r="D223" s="18"/>
      <c r="E223" s="18"/>
      <c r="F223" s="18"/>
      <c r="G223" s="19"/>
      <c r="H223" s="27"/>
      <c r="I223" s="27"/>
      <c r="J223" s="27"/>
      <c r="K223" s="27"/>
      <c r="L223" s="27"/>
      <c r="M223" s="21"/>
      <c r="N223" s="27"/>
      <c r="O223" s="27"/>
      <c r="P223" s="27"/>
      <c r="Q223" s="27"/>
      <c r="R223" s="27"/>
      <c r="S223" s="21"/>
      <c r="T223" s="28"/>
      <c r="U223" s="28"/>
      <c r="V223" s="28"/>
      <c r="W223" s="28"/>
      <c r="X223" s="28"/>
      <c r="Y223" s="19"/>
      <c r="Z223" s="18"/>
      <c r="AE223" s="19"/>
      <c r="AH223" s="24"/>
      <c r="AI223" s="30"/>
      <c r="AJ223" s="30"/>
      <c r="AK223" s="30"/>
      <c r="AL223" s="24"/>
      <c r="AM223" s="24"/>
    </row>
    <row r="224" ht="15.75" customHeight="1">
      <c r="B224" s="18"/>
      <c r="C224" s="18"/>
      <c r="D224" s="18"/>
      <c r="E224" s="18"/>
      <c r="F224" s="18"/>
      <c r="G224" s="19"/>
      <c r="H224" s="27"/>
      <c r="I224" s="27"/>
      <c r="J224" s="27"/>
      <c r="K224" s="27"/>
      <c r="L224" s="27"/>
      <c r="M224" s="21"/>
      <c r="N224" s="27"/>
      <c r="O224" s="27"/>
      <c r="P224" s="27"/>
      <c r="Q224" s="27"/>
      <c r="R224" s="27"/>
      <c r="S224" s="21"/>
      <c r="T224" s="28"/>
      <c r="U224" s="28"/>
      <c r="V224" s="28"/>
      <c r="W224" s="28"/>
      <c r="X224" s="28"/>
      <c r="Y224" s="19"/>
      <c r="Z224" s="18"/>
      <c r="AE224" s="19"/>
      <c r="AH224" s="24"/>
      <c r="AI224" s="30"/>
      <c r="AJ224" s="30"/>
      <c r="AK224" s="30"/>
      <c r="AL224" s="24"/>
      <c r="AM224" s="24"/>
    </row>
    <row r="225" ht="15.75" customHeight="1">
      <c r="B225" s="18"/>
      <c r="C225" s="18"/>
      <c r="D225" s="18"/>
      <c r="E225" s="18"/>
      <c r="F225" s="18"/>
      <c r="G225" s="19"/>
      <c r="H225" s="27"/>
      <c r="I225" s="27"/>
      <c r="J225" s="27"/>
      <c r="K225" s="27"/>
      <c r="L225" s="27"/>
      <c r="M225" s="21"/>
      <c r="N225" s="27"/>
      <c r="O225" s="27"/>
      <c r="P225" s="27"/>
      <c r="Q225" s="27"/>
      <c r="R225" s="27"/>
      <c r="S225" s="21"/>
      <c r="T225" s="28"/>
      <c r="U225" s="28"/>
      <c r="V225" s="28"/>
      <c r="W225" s="28"/>
      <c r="X225" s="28"/>
      <c r="Y225" s="19"/>
      <c r="Z225" s="18"/>
      <c r="AE225" s="19"/>
      <c r="AH225" s="24"/>
      <c r="AI225" s="30"/>
      <c r="AJ225" s="30"/>
      <c r="AK225" s="30"/>
      <c r="AL225" s="24"/>
      <c r="AM225" s="24"/>
    </row>
    <row r="226" ht="15.75" customHeight="1">
      <c r="B226" s="18"/>
      <c r="C226" s="18"/>
      <c r="D226" s="18"/>
      <c r="E226" s="18"/>
      <c r="F226" s="18"/>
      <c r="G226" s="19"/>
      <c r="H226" s="27"/>
      <c r="I226" s="27"/>
      <c r="J226" s="27"/>
      <c r="K226" s="27"/>
      <c r="L226" s="27"/>
      <c r="M226" s="21"/>
      <c r="N226" s="27"/>
      <c r="O226" s="27"/>
      <c r="P226" s="27"/>
      <c r="Q226" s="27"/>
      <c r="R226" s="27"/>
      <c r="S226" s="21"/>
      <c r="T226" s="28"/>
      <c r="U226" s="28"/>
      <c r="V226" s="28"/>
      <c r="W226" s="28"/>
      <c r="X226" s="28"/>
      <c r="Y226" s="19"/>
      <c r="Z226" s="18"/>
      <c r="AE226" s="19"/>
      <c r="AH226" s="24"/>
      <c r="AI226" s="30"/>
      <c r="AJ226" s="30"/>
      <c r="AK226" s="30"/>
      <c r="AL226" s="24"/>
      <c r="AM226" s="24"/>
    </row>
    <row r="227" ht="15.75" customHeight="1">
      <c r="B227" s="18"/>
      <c r="C227" s="18"/>
      <c r="D227" s="18"/>
      <c r="E227" s="18"/>
      <c r="F227" s="18"/>
      <c r="G227" s="19"/>
      <c r="H227" s="27"/>
      <c r="I227" s="27"/>
      <c r="J227" s="27"/>
      <c r="K227" s="27"/>
      <c r="L227" s="27"/>
      <c r="M227" s="21"/>
      <c r="N227" s="27"/>
      <c r="O227" s="27"/>
      <c r="P227" s="27"/>
      <c r="Q227" s="27"/>
      <c r="R227" s="27"/>
      <c r="S227" s="21"/>
      <c r="T227" s="28"/>
      <c r="U227" s="28"/>
      <c r="V227" s="28"/>
      <c r="W227" s="28"/>
      <c r="X227" s="28"/>
      <c r="Y227" s="19"/>
      <c r="Z227" s="18"/>
      <c r="AE227" s="19"/>
      <c r="AH227" s="24"/>
      <c r="AI227" s="30"/>
      <c r="AJ227" s="30"/>
      <c r="AK227" s="30"/>
      <c r="AL227" s="24"/>
      <c r="AM227" s="24"/>
    </row>
    <row r="228" ht="15.75" customHeight="1">
      <c r="B228" s="18"/>
      <c r="C228" s="18"/>
      <c r="D228" s="18"/>
      <c r="E228" s="18"/>
      <c r="F228" s="18"/>
      <c r="G228" s="19"/>
      <c r="H228" s="27"/>
      <c r="I228" s="27"/>
      <c r="J228" s="27"/>
      <c r="K228" s="27"/>
      <c r="L228" s="27"/>
      <c r="M228" s="21"/>
      <c r="N228" s="27"/>
      <c r="O228" s="27"/>
      <c r="P228" s="27"/>
      <c r="Q228" s="27"/>
      <c r="R228" s="27"/>
      <c r="S228" s="21"/>
      <c r="T228" s="28"/>
      <c r="U228" s="28"/>
      <c r="V228" s="28"/>
      <c r="W228" s="28"/>
      <c r="X228" s="28"/>
      <c r="Y228" s="19"/>
      <c r="Z228" s="18"/>
      <c r="AE228" s="19"/>
      <c r="AH228" s="24"/>
      <c r="AI228" s="30"/>
      <c r="AJ228" s="30"/>
      <c r="AK228" s="30"/>
      <c r="AL228" s="24"/>
      <c r="AM228" s="24"/>
    </row>
    <row r="229" ht="15.75" customHeight="1">
      <c r="B229" s="18"/>
      <c r="C229" s="18"/>
      <c r="D229" s="18"/>
      <c r="E229" s="18"/>
      <c r="F229" s="18"/>
      <c r="G229" s="19"/>
      <c r="H229" s="27"/>
      <c r="I229" s="27"/>
      <c r="J229" s="27"/>
      <c r="K229" s="27"/>
      <c r="L229" s="27"/>
      <c r="M229" s="21"/>
      <c r="N229" s="27"/>
      <c r="O229" s="27"/>
      <c r="P229" s="27"/>
      <c r="Q229" s="27"/>
      <c r="R229" s="27"/>
      <c r="S229" s="21"/>
      <c r="T229" s="28"/>
      <c r="U229" s="28"/>
      <c r="V229" s="28"/>
      <c r="W229" s="28"/>
      <c r="X229" s="28"/>
      <c r="Y229" s="19"/>
      <c r="Z229" s="18"/>
      <c r="AE229" s="19"/>
      <c r="AH229" s="24"/>
      <c r="AI229" s="30"/>
      <c r="AJ229" s="30"/>
      <c r="AK229" s="30"/>
      <c r="AL229" s="24"/>
      <c r="AM229" s="24"/>
    </row>
    <row r="230" ht="15.75" customHeight="1">
      <c r="B230" s="18"/>
      <c r="C230" s="18"/>
      <c r="D230" s="18"/>
      <c r="E230" s="18"/>
      <c r="F230" s="18"/>
      <c r="G230" s="19"/>
      <c r="H230" s="27"/>
      <c r="I230" s="27"/>
      <c r="J230" s="27"/>
      <c r="K230" s="27"/>
      <c r="L230" s="27"/>
      <c r="M230" s="21"/>
      <c r="N230" s="27"/>
      <c r="O230" s="27"/>
      <c r="P230" s="27"/>
      <c r="Q230" s="27"/>
      <c r="R230" s="27"/>
      <c r="S230" s="21"/>
      <c r="T230" s="28"/>
      <c r="U230" s="28"/>
      <c r="V230" s="28"/>
      <c r="W230" s="28"/>
      <c r="X230" s="28"/>
      <c r="Y230" s="19"/>
      <c r="Z230" s="18"/>
      <c r="AE230" s="19"/>
      <c r="AH230" s="24"/>
      <c r="AI230" s="30"/>
      <c r="AJ230" s="30"/>
      <c r="AK230" s="30"/>
      <c r="AL230" s="24"/>
      <c r="AM230" s="24"/>
    </row>
    <row r="231" ht="15.75" customHeight="1">
      <c r="B231" s="18"/>
      <c r="C231" s="18"/>
      <c r="D231" s="18"/>
      <c r="E231" s="18"/>
      <c r="F231" s="18"/>
      <c r="G231" s="19"/>
      <c r="H231" s="27"/>
      <c r="I231" s="27"/>
      <c r="J231" s="27"/>
      <c r="K231" s="27"/>
      <c r="L231" s="27"/>
      <c r="M231" s="21"/>
      <c r="N231" s="27"/>
      <c r="O231" s="27"/>
      <c r="P231" s="27"/>
      <c r="Q231" s="27"/>
      <c r="R231" s="27"/>
      <c r="S231" s="21"/>
      <c r="T231" s="28"/>
      <c r="U231" s="28"/>
      <c r="V231" s="28"/>
      <c r="W231" s="28"/>
      <c r="X231" s="28"/>
      <c r="Y231" s="19"/>
      <c r="Z231" s="18"/>
      <c r="AE231" s="19"/>
      <c r="AH231" s="24"/>
      <c r="AI231" s="30"/>
      <c r="AJ231" s="30"/>
      <c r="AK231" s="30"/>
      <c r="AL231" s="24"/>
      <c r="AM231" s="24"/>
    </row>
    <row r="232" ht="15.75" customHeight="1">
      <c r="B232" s="18"/>
      <c r="C232" s="18"/>
      <c r="D232" s="18"/>
      <c r="E232" s="18"/>
      <c r="F232" s="18"/>
      <c r="G232" s="19"/>
      <c r="H232" s="27"/>
      <c r="I232" s="27"/>
      <c r="J232" s="27"/>
      <c r="K232" s="27"/>
      <c r="L232" s="27"/>
      <c r="M232" s="21"/>
      <c r="N232" s="27"/>
      <c r="O232" s="27"/>
      <c r="P232" s="27"/>
      <c r="Q232" s="27"/>
      <c r="R232" s="27"/>
      <c r="S232" s="21"/>
      <c r="T232" s="28"/>
      <c r="U232" s="28"/>
      <c r="V232" s="28"/>
      <c r="W232" s="28"/>
      <c r="X232" s="28"/>
      <c r="Y232" s="19"/>
      <c r="Z232" s="18"/>
      <c r="AE232" s="19"/>
      <c r="AH232" s="24"/>
      <c r="AI232" s="30"/>
      <c r="AJ232" s="30"/>
      <c r="AK232" s="30"/>
      <c r="AL232" s="24"/>
      <c r="AM232" s="2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39" width="18.13"/>
  </cols>
  <sheetData>
    <row r="1" ht="15.75" customHeight="1">
      <c r="A1" s="1" t="s">
        <v>0</v>
      </c>
      <c r="B1" s="3"/>
      <c r="C1" s="3"/>
      <c r="D1" s="3" t="s">
        <v>1</v>
      </c>
      <c r="E1" s="3"/>
      <c r="F1" s="3"/>
      <c r="G1" s="4"/>
      <c r="H1" s="5"/>
      <c r="I1" s="5"/>
      <c r="J1" s="5" t="s">
        <v>2</v>
      </c>
      <c r="K1" s="5"/>
      <c r="L1" s="5"/>
      <c r="M1" s="6"/>
      <c r="N1" s="5"/>
      <c r="O1" s="5"/>
      <c r="P1" s="5" t="s">
        <v>3</v>
      </c>
      <c r="Q1" s="5"/>
      <c r="R1" s="5"/>
      <c r="S1" s="6"/>
      <c r="T1" s="7"/>
      <c r="U1" s="7"/>
      <c r="V1" s="7"/>
      <c r="W1" s="7" t="s">
        <v>4</v>
      </c>
      <c r="X1" s="7"/>
      <c r="Y1" s="4"/>
      <c r="Z1" s="3"/>
      <c r="AA1" s="31"/>
      <c r="AB1" s="31" t="s">
        <v>5</v>
      </c>
      <c r="AC1" s="31"/>
      <c r="AD1" s="31"/>
      <c r="AE1" s="4"/>
      <c r="AF1" s="31"/>
      <c r="AG1" s="31"/>
      <c r="AH1" s="8"/>
      <c r="AI1" s="9"/>
      <c r="AJ1" s="9"/>
      <c r="AK1" s="9"/>
      <c r="AL1" s="8"/>
      <c r="AM1" s="8"/>
    </row>
    <row r="2" ht="15.75" customHeight="1">
      <c r="A2" s="10" t="s">
        <v>6</v>
      </c>
      <c r="B2" s="11" t="s">
        <v>32</v>
      </c>
      <c r="C2" s="11" t="s">
        <v>33</v>
      </c>
      <c r="D2" s="11" t="s">
        <v>34</v>
      </c>
      <c r="E2" s="11" t="s">
        <v>35</v>
      </c>
      <c r="F2" s="11" t="s">
        <v>36</v>
      </c>
      <c r="G2" s="4"/>
      <c r="H2" s="12" t="s">
        <v>37</v>
      </c>
      <c r="I2" s="12" t="s">
        <v>38</v>
      </c>
      <c r="J2" s="12" t="s">
        <v>39</v>
      </c>
      <c r="K2" s="12" t="s">
        <v>40</v>
      </c>
      <c r="L2" s="12" t="s">
        <v>41</v>
      </c>
      <c r="M2" s="6"/>
      <c r="N2" s="12" t="s">
        <v>42</v>
      </c>
      <c r="O2" s="12" t="s">
        <v>43</v>
      </c>
      <c r="P2" s="12" t="s">
        <v>58</v>
      </c>
      <c r="Q2" s="12" t="s">
        <v>45</v>
      </c>
      <c r="R2" s="12" t="s">
        <v>46</v>
      </c>
      <c r="S2" s="6"/>
      <c r="T2" s="12" t="s">
        <v>47</v>
      </c>
      <c r="U2" s="12" t="s">
        <v>48</v>
      </c>
      <c r="V2" s="12" t="s">
        <v>49</v>
      </c>
      <c r="W2" s="12" t="s">
        <v>50</v>
      </c>
      <c r="X2" s="12" t="s">
        <v>51</v>
      </c>
      <c r="Y2" s="4"/>
      <c r="Z2" s="11" t="s">
        <v>52</v>
      </c>
      <c r="AA2" s="13" t="s">
        <v>53</v>
      </c>
      <c r="AB2" s="13" t="s">
        <v>54</v>
      </c>
      <c r="AC2" s="13" t="s">
        <v>55</v>
      </c>
      <c r="AD2" s="13" t="s">
        <v>56</v>
      </c>
      <c r="AE2" s="4"/>
      <c r="AF2" s="10"/>
      <c r="AG2" s="10"/>
      <c r="AH2" s="14" t="s">
        <v>27</v>
      </c>
      <c r="AI2" s="15" t="s">
        <v>28</v>
      </c>
      <c r="AJ2" s="15" t="s">
        <v>29</v>
      </c>
      <c r="AK2" s="15" t="s">
        <v>30</v>
      </c>
      <c r="AL2" s="14" t="s">
        <v>31</v>
      </c>
      <c r="AM2" s="14" t="s">
        <v>5</v>
      </c>
    </row>
    <row r="3" ht="15.75" customHeight="1">
      <c r="A3" s="16">
        <v>35.0</v>
      </c>
      <c r="B3" s="18">
        <v>93.4</v>
      </c>
      <c r="C3" s="18">
        <v>95.6</v>
      </c>
      <c r="D3" s="18">
        <v>0.0</v>
      </c>
      <c r="E3" s="18">
        <v>0.0</v>
      </c>
      <c r="F3" s="18">
        <v>15.4</v>
      </c>
      <c r="G3" s="19"/>
      <c r="H3" s="27">
        <v>153.0</v>
      </c>
      <c r="I3" s="27">
        <v>149.0</v>
      </c>
      <c r="J3" s="27">
        <v>0.0</v>
      </c>
      <c r="K3" s="27">
        <v>0.0</v>
      </c>
      <c r="L3" s="27">
        <v>68.0</v>
      </c>
      <c r="M3" s="21"/>
      <c r="N3" s="27">
        <v>88.0</v>
      </c>
      <c r="O3" s="27">
        <v>83.0</v>
      </c>
      <c r="P3" s="27">
        <v>0.0</v>
      </c>
      <c r="Q3" s="27">
        <v>0.0</v>
      </c>
      <c r="R3" s="27">
        <v>22.0</v>
      </c>
      <c r="S3" s="21"/>
      <c r="T3" s="28">
        <f t="shared" ref="T3:X3" si="1">if(H3&gt;0, N3/H3,"No installs")</f>
        <v>0.5751633987</v>
      </c>
      <c r="U3" s="28">
        <f t="shared" si="1"/>
        <v>0.5570469799</v>
      </c>
      <c r="V3" s="28" t="str">
        <f t="shared" si="1"/>
        <v>No installs</v>
      </c>
      <c r="W3" s="28" t="str">
        <f t="shared" si="1"/>
        <v>No installs</v>
      </c>
      <c r="X3" s="28">
        <f t="shared" si="1"/>
        <v>0.3235294118</v>
      </c>
      <c r="Y3" s="19"/>
      <c r="Z3" s="29">
        <f t="shared" ref="Z3:AD3" si="2">if(N3&gt;0,B3/N3,"No SignUps")</f>
        <v>1.061363636</v>
      </c>
      <c r="AA3" s="29">
        <f t="shared" si="2"/>
        <v>1.151807229</v>
      </c>
      <c r="AB3" s="29" t="str">
        <f t="shared" si="2"/>
        <v>No SignUps</v>
      </c>
      <c r="AC3" s="29" t="str">
        <f t="shared" si="2"/>
        <v>No SignUps</v>
      </c>
      <c r="AD3" s="29">
        <f t="shared" si="2"/>
        <v>0.7</v>
      </c>
      <c r="AE3" s="19"/>
      <c r="AF3" s="16"/>
      <c r="AG3" s="16"/>
      <c r="AH3" s="24">
        <f t="shared" ref="AH3:AH23" si="5">SUM(B3:F3)</f>
        <v>204.4</v>
      </c>
      <c r="AI3" s="25">
        <f t="shared" ref="AI3:AI23" si="6">sum(H3:L3)</f>
        <v>370</v>
      </c>
      <c r="AJ3" s="25">
        <f t="shared" ref="AJ3:AJ23" si="7">sum(N3:R3)</f>
        <v>193</v>
      </c>
      <c r="AK3" s="26">
        <f t="shared" ref="AK3:AK23" si="8">AJ3/AI3</f>
        <v>0.5216216216</v>
      </c>
      <c r="AL3" s="24">
        <f t="shared" ref="AL3:AL23" si="9">AH3/AI3</f>
        <v>0.5524324324</v>
      </c>
      <c r="AM3" s="24">
        <f t="shared" ref="AM3:AM23" si="10">AH3/AJ3</f>
        <v>1.059067358</v>
      </c>
    </row>
    <row r="4" ht="15.75" customHeight="1">
      <c r="A4" s="16">
        <v>36.0</v>
      </c>
      <c r="B4" s="18">
        <v>337.6</v>
      </c>
      <c r="C4" s="18">
        <v>368.2</v>
      </c>
      <c r="D4" s="18">
        <v>25.6</v>
      </c>
      <c r="E4" s="18">
        <v>261.4</v>
      </c>
      <c r="F4" s="18">
        <v>48.0</v>
      </c>
      <c r="G4" s="19"/>
      <c r="H4" s="27">
        <v>549.0</v>
      </c>
      <c r="I4" s="27">
        <v>586.0</v>
      </c>
      <c r="J4" s="27">
        <v>39.0</v>
      </c>
      <c r="K4" s="27">
        <v>945.0</v>
      </c>
      <c r="L4" s="27">
        <v>239.0</v>
      </c>
      <c r="M4" s="21"/>
      <c r="N4" s="27">
        <f>185+148</f>
        <v>333</v>
      </c>
      <c r="O4" s="27">
        <f>4+108+12+3+160+29+1</f>
        <v>317</v>
      </c>
      <c r="P4" s="27">
        <f>3+25</f>
        <v>28</v>
      </c>
      <c r="Q4" s="27">
        <f>254+33</f>
        <v>287</v>
      </c>
      <c r="R4" s="27">
        <v>106.0</v>
      </c>
      <c r="S4" s="21"/>
      <c r="T4" s="28">
        <f t="shared" ref="T4:X4" si="3">if(H4&gt;0, N4/H4,"No installs")</f>
        <v>0.606557377</v>
      </c>
      <c r="U4" s="28">
        <f t="shared" si="3"/>
        <v>0.5409556314</v>
      </c>
      <c r="V4" s="28">
        <f t="shared" si="3"/>
        <v>0.7179487179</v>
      </c>
      <c r="W4" s="28">
        <f t="shared" si="3"/>
        <v>0.3037037037</v>
      </c>
      <c r="X4" s="28">
        <f t="shared" si="3"/>
        <v>0.4435146444</v>
      </c>
      <c r="Y4" s="19"/>
      <c r="Z4" s="29">
        <f t="shared" ref="Z4:AD4" si="4">if(N4&gt;0,B4/N4,"No SignUps")</f>
        <v>1.013813814</v>
      </c>
      <c r="AA4" s="29">
        <f t="shared" si="4"/>
        <v>1.161514196</v>
      </c>
      <c r="AB4" s="29">
        <f t="shared" si="4"/>
        <v>0.9142857143</v>
      </c>
      <c r="AC4" s="29">
        <f t="shared" si="4"/>
        <v>0.9108013937</v>
      </c>
      <c r="AD4" s="29">
        <f t="shared" si="4"/>
        <v>0.4528301887</v>
      </c>
      <c r="AE4" s="19"/>
      <c r="AF4" s="16"/>
      <c r="AG4" s="16"/>
      <c r="AH4" s="24">
        <f t="shared" si="5"/>
        <v>1040.8</v>
      </c>
      <c r="AI4" s="25">
        <f t="shared" si="6"/>
        <v>2358</v>
      </c>
      <c r="AJ4" s="25">
        <f t="shared" si="7"/>
        <v>1071</v>
      </c>
      <c r="AK4" s="26">
        <f t="shared" si="8"/>
        <v>0.4541984733</v>
      </c>
      <c r="AL4" s="24">
        <f t="shared" si="9"/>
        <v>0.4413910093</v>
      </c>
      <c r="AM4" s="24">
        <f t="shared" si="10"/>
        <v>0.9718020542</v>
      </c>
    </row>
    <row r="5" ht="15.75" customHeight="1">
      <c r="A5" s="16">
        <v>37.0</v>
      </c>
      <c r="B5" s="18">
        <v>183.8</v>
      </c>
      <c r="C5" s="18">
        <v>275.8</v>
      </c>
      <c r="D5" s="18">
        <v>68.4</v>
      </c>
      <c r="E5" s="18">
        <v>260.4</v>
      </c>
      <c r="F5" s="18">
        <v>66.2</v>
      </c>
      <c r="G5" s="19"/>
      <c r="H5" s="27">
        <v>295.0</v>
      </c>
      <c r="I5" s="27">
        <v>419.0</v>
      </c>
      <c r="J5" s="27">
        <v>87.0</v>
      </c>
      <c r="K5" s="27">
        <v>914.0</v>
      </c>
      <c r="L5" s="27">
        <v>206.0</v>
      </c>
      <c r="M5" s="21"/>
      <c r="N5" s="27">
        <v>205.0</v>
      </c>
      <c r="O5" s="27">
        <f>90+162</f>
        <v>252</v>
      </c>
      <c r="P5" s="27">
        <f>43+8</f>
        <v>51</v>
      </c>
      <c r="Q5" s="27">
        <f>1+4+215+82+5</f>
        <v>307</v>
      </c>
      <c r="R5" s="27">
        <f>18+82</f>
        <v>100</v>
      </c>
      <c r="S5" s="21"/>
      <c r="T5" s="28">
        <f t="shared" ref="T5:X5" si="11">if(H5&gt;0, N5/H5,"No installs")</f>
        <v>0.6949152542</v>
      </c>
      <c r="U5" s="28">
        <f t="shared" si="11"/>
        <v>0.6014319809</v>
      </c>
      <c r="V5" s="28">
        <f t="shared" si="11"/>
        <v>0.5862068966</v>
      </c>
      <c r="W5" s="28">
        <f t="shared" si="11"/>
        <v>0.3358862144</v>
      </c>
      <c r="X5" s="28">
        <f t="shared" si="11"/>
        <v>0.4854368932</v>
      </c>
      <c r="Y5" s="19"/>
      <c r="Z5" s="29">
        <f t="shared" ref="Z5:AD5" si="12">if(N5&gt;0,B5/N5,"No SignUps")</f>
        <v>0.8965853659</v>
      </c>
      <c r="AA5" s="29">
        <f t="shared" si="12"/>
        <v>1.094444444</v>
      </c>
      <c r="AB5" s="29">
        <f t="shared" si="12"/>
        <v>1.341176471</v>
      </c>
      <c r="AC5" s="29">
        <f t="shared" si="12"/>
        <v>0.8482084691</v>
      </c>
      <c r="AD5" s="29">
        <f t="shared" si="12"/>
        <v>0.662</v>
      </c>
      <c r="AE5" s="19"/>
      <c r="AF5" s="16"/>
      <c r="AG5" s="16"/>
      <c r="AH5" s="24">
        <f t="shared" si="5"/>
        <v>854.6</v>
      </c>
      <c r="AI5" s="25">
        <f t="shared" si="6"/>
        <v>1921</v>
      </c>
      <c r="AJ5" s="25">
        <f t="shared" si="7"/>
        <v>915</v>
      </c>
      <c r="AK5" s="26">
        <f t="shared" si="8"/>
        <v>0.4763144196</v>
      </c>
      <c r="AL5" s="24">
        <f t="shared" si="9"/>
        <v>0.4448724623</v>
      </c>
      <c r="AM5" s="24">
        <f t="shared" si="10"/>
        <v>0.933989071</v>
      </c>
    </row>
    <row r="6" ht="15.75" customHeight="1">
      <c r="A6" s="16">
        <v>38.0</v>
      </c>
      <c r="B6" s="18">
        <v>160.8</v>
      </c>
      <c r="C6" s="18">
        <v>241.2</v>
      </c>
      <c r="D6" s="18">
        <v>68.8</v>
      </c>
      <c r="E6" s="18">
        <v>294.8</v>
      </c>
      <c r="F6" s="18">
        <v>79.6</v>
      </c>
      <c r="G6" s="19"/>
      <c r="H6" s="27">
        <v>220.0</v>
      </c>
      <c r="I6" s="27">
        <v>381.0</v>
      </c>
      <c r="J6" s="27">
        <v>91.0</v>
      </c>
      <c r="K6" s="27">
        <v>925.0</v>
      </c>
      <c r="L6" s="27">
        <v>157.0</v>
      </c>
      <c r="M6" s="21"/>
      <c r="N6" s="27">
        <f>154+3</f>
        <v>157</v>
      </c>
      <c r="O6" s="27">
        <f>22+2+214+3</f>
        <v>241</v>
      </c>
      <c r="P6" s="27">
        <v>63.0</v>
      </c>
      <c r="Q6" s="27">
        <v>358.0</v>
      </c>
      <c r="R6" s="27">
        <v>67.0</v>
      </c>
      <c r="S6" s="21"/>
      <c r="T6" s="28">
        <f t="shared" ref="T6:X6" si="13">if(H6&gt;0, N6/H6,"No installs")</f>
        <v>0.7136363636</v>
      </c>
      <c r="U6" s="28">
        <f t="shared" si="13"/>
        <v>0.6325459318</v>
      </c>
      <c r="V6" s="28">
        <f t="shared" si="13"/>
        <v>0.6923076923</v>
      </c>
      <c r="W6" s="28">
        <f t="shared" si="13"/>
        <v>0.387027027</v>
      </c>
      <c r="X6" s="28">
        <f t="shared" si="13"/>
        <v>0.4267515924</v>
      </c>
      <c r="Y6" s="19"/>
      <c r="Z6" s="29">
        <f t="shared" ref="Z6:AD6" si="14">if(N6&gt;0,B6/N6,"No SignUps")</f>
        <v>1.024203822</v>
      </c>
      <c r="AA6" s="29">
        <f t="shared" si="14"/>
        <v>1.000829876</v>
      </c>
      <c r="AB6" s="29">
        <f t="shared" si="14"/>
        <v>1.092063492</v>
      </c>
      <c r="AC6" s="29">
        <f t="shared" si="14"/>
        <v>0.8234636872</v>
      </c>
      <c r="AD6" s="29">
        <f t="shared" si="14"/>
        <v>1.188059701</v>
      </c>
      <c r="AE6" s="19"/>
      <c r="AF6" s="16"/>
      <c r="AG6" s="16"/>
      <c r="AH6" s="24">
        <f t="shared" si="5"/>
        <v>845.2</v>
      </c>
      <c r="AI6" s="25">
        <f t="shared" si="6"/>
        <v>1774</v>
      </c>
      <c r="AJ6" s="25">
        <f t="shared" si="7"/>
        <v>886</v>
      </c>
      <c r="AK6" s="26">
        <f t="shared" si="8"/>
        <v>0.4994363021</v>
      </c>
      <c r="AL6" s="24">
        <f t="shared" si="9"/>
        <v>0.4764374295</v>
      </c>
      <c r="AM6" s="24">
        <f t="shared" si="10"/>
        <v>0.9539503386</v>
      </c>
    </row>
    <row r="7" ht="15.75" customHeight="1">
      <c r="A7" s="16">
        <v>39.0</v>
      </c>
      <c r="B7" s="18">
        <v>142.0</v>
      </c>
      <c r="C7" s="18">
        <v>224.8</v>
      </c>
      <c r="D7" s="18">
        <v>101.0</v>
      </c>
      <c r="E7" s="18">
        <v>217.2</v>
      </c>
      <c r="F7" s="18">
        <v>101.8</v>
      </c>
      <c r="G7" s="19"/>
      <c r="H7" s="27">
        <v>264.0</v>
      </c>
      <c r="I7" s="27">
        <v>360.0</v>
      </c>
      <c r="J7" s="27">
        <v>169.0</v>
      </c>
      <c r="K7" s="27">
        <v>757.0</v>
      </c>
      <c r="L7" s="27">
        <v>246.0</v>
      </c>
      <c r="M7" s="21"/>
      <c r="N7" s="27">
        <v>157.0</v>
      </c>
      <c r="O7" s="27">
        <v>233.0</v>
      </c>
      <c r="P7" s="27">
        <v>112.0</v>
      </c>
      <c r="Q7" s="27">
        <v>275.0</v>
      </c>
      <c r="R7" s="27">
        <v>90.0</v>
      </c>
      <c r="S7" s="21"/>
      <c r="T7" s="28">
        <f t="shared" ref="T7:X7" si="15">if(H7&gt;0, N7/H7,"No installs")</f>
        <v>0.5946969697</v>
      </c>
      <c r="U7" s="28">
        <f t="shared" si="15"/>
        <v>0.6472222222</v>
      </c>
      <c r="V7" s="28">
        <f t="shared" si="15"/>
        <v>0.6627218935</v>
      </c>
      <c r="W7" s="28">
        <f t="shared" si="15"/>
        <v>0.3632760898</v>
      </c>
      <c r="X7" s="28">
        <f t="shared" si="15"/>
        <v>0.3658536585</v>
      </c>
      <c r="Y7" s="19"/>
      <c r="Z7" s="29">
        <f t="shared" ref="Z7:AD7" si="16">if(N7&gt;0,B7/N7,"No SignUps")</f>
        <v>0.9044585987</v>
      </c>
      <c r="AA7" s="29">
        <f t="shared" si="16"/>
        <v>0.964806867</v>
      </c>
      <c r="AB7" s="29">
        <f t="shared" si="16"/>
        <v>0.9017857143</v>
      </c>
      <c r="AC7" s="29">
        <f t="shared" si="16"/>
        <v>0.7898181818</v>
      </c>
      <c r="AD7" s="29">
        <f t="shared" si="16"/>
        <v>1.131111111</v>
      </c>
      <c r="AE7" s="19"/>
      <c r="AF7" s="16"/>
      <c r="AG7" s="16"/>
      <c r="AH7" s="24">
        <f t="shared" si="5"/>
        <v>786.8</v>
      </c>
      <c r="AI7" s="25">
        <f t="shared" si="6"/>
        <v>1796</v>
      </c>
      <c r="AJ7" s="25">
        <f t="shared" si="7"/>
        <v>867</v>
      </c>
      <c r="AK7" s="26">
        <f t="shared" si="8"/>
        <v>0.4827394209</v>
      </c>
      <c r="AL7" s="24">
        <f t="shared" si="9"/>
        <v>0.4380846325</v>
      </c>
      <c r="AM7" s="24">
        <f t="shared" si="10"/>
        <v>0.9074971165</v>
      </c>
    </row>
    <row r="8" ht="15.75" customHeight="1">
      <c r="A8" s="16">
        <v>40.0</v>
      </c>
      <c r="B8" s="18">
        <v>195.6</v>
      </c>
      <c r="C8" s="18">
        <v>269.2</v>
      </c>
      <c r="D8" s="18">
        <v>169.0</v>
      </c>
      <c r="E8" s="18">
        <v>242.2</v>
      </c>
      <c r="F8" s="18">
        <v>106.6</v>
      </c>
      <c r="G8" s="19"/>
      <c r="H8" s="27">
        <v>309.0</v>
      </c>
      <c r="I8" s="27">
        <v>430.0</v>
      </c>
      <c r="J8" s="27">
        <v>247.0</v>
      </c>
      <c r="K8" s="27">
        <v>836.0</v>
      </c>
      <c r="L8" s="27">
        <v>277.0</v>
      </c>
      <c r="M8" s="21"/>
      <c r="N8" s="27">
        <f>168+46</f>
        <v>214</v>
      </c>
      <c r="O8" s="27">
        <f>267+45</f>
        <v>312</v>
      </c>
      <c r="P8" s="27">
        <f>129+38</f>
        <v>167</v>
      </c>
      <c r="Q8" s="27">
        <f>289+47</f>
        <v>336</v>
      </c>
      <c r="R8" s="27">
        <v>145.0</v>
      </c>
      <c r="S8" s="21"/>
      <c r="T8" s="28">
        <f t="shared" ref="T8:X8" si="17">if(H8&gt;0, N8/H8,"No installs")</f>
        <v>0.6925566343</v>
      </c>
      <c r="U8" s="28">
        <f t="shared" si="17"/>
        <v>0.7255813953</v>
      </c>
      <c r="V8" s="28">
        <f t="shared" si="17"/>
        <v>0.6761133603</v>
      </c>
      <c r="W8" s="28">
        <f t="shared" si="17"/>
        <v>0.4019138756</v>
      </c>
      <c r="X8" s="28">
        <f t="shared" si="17"/>
        <v>0.523465704</v>
      </c>
      <c r="Y8" s="19"/>
      <c r="Z8" s="29">
        <f t="shared" ref="Z8:AD8" si="18">if(N8&gt;0,B8/N8,"No SignUps")</f>
        <v>0.9140186916</v>
      </c>
      <c r="AA8" s="29">
        <f t="shared" si="18"/>
        <v>0.8628205128</v>
      </c>
      <c r="AB8" s="29">
        <f t="shared" si="18"/>
        <v>1.011976048</v>
      </c>
      <c r="AC8" s="29">
        <f t="shared" si="18"/>
        <v>0.7208333333</v>
      </c>
      <c r="AD8" s="29">
        <f t="shared" si="18"/>
        <v>0.7351724138</v>
      </c>
      <c r="AE8" s="19"/>
      <c r="AF8" s="16"/>
      <c r="AG8" s="16"/>
      <c r="AH8" s="24">
        <f t="shared" si="5"/>
        <v>982.6</v>
      </c>
      <c r="AI8" s="25">
        <f t="shared" si="6"/>
        <v>2099</v>
      </c>
      <c r="AJ8" s="25">
        <f t="shared" si="7"/>
        <v>1174</v>
      </c>
      <c r="AK8" s="26">
        <f t="shared" si="8"/>
        <v>0.559313959</v>
      </c>
      <c r="AL8" s="24">
        <f t="shared" si="9"/>
        <v>0.4681276798</v>
      </c>
      <c r="AM8" s="24">
        <f t="shared" si="10"/>
        <v>0.836967632</v>
      </c>
    </row>
    <row r="9" ht="15.75" customHeight="1">
      <c r="A9" s="16">
        <v>41.0</v>
      </c>
      <c r="B9" s="18">
        <v>176.4</v>
      </c>
      <c r="C9" s="18">
        <v>271.0</v>
      </c>
      <c r="D9" s="18">
        <v>135.2</v>
      </c>
      <c r="E9" s="18">
        <v>378.0</v>
      </c>
      <c r="F9" s="18">
        <v>89.4</v>
      </c>
      <c r="G9" s="19"/>
      <c r="H9" s="27">
        <v>298.0</v>
      </c>
      <c r="I9" s="27">
        <v>424.0</v>
      </c>
      <c r="J9" s="27">
        <v>127.0</v>
      </c>
      <c r="K9" s="27">
        <v>1292.0</v>
      </c>
      <c r="L9" s="27">
        <v>240.0</v>
      </c>
      <c r="M9" s="21"/>
      <c r="N9" s="27">
        <v>236.0</v>
      </c>
      <c r="O9" s="27">
        <v>275.0</v>
      </c>
      <c r="P9" s="27">
        <v>128.0</v>
      </c>
      <c r="Q9" s="27">
        <v>422.0</v>
      </c>
      <c r="R9" s="27">
        <v>116.0</v>
      </c>
      <c r="S9" s="21"/>
      <c r="T9" s="28">
        <f t="shared" ref="T9:X9" si="19">if(H9&gt;0, N9/H9,"No installs")</f>
        <v>0.7919463087</v>
      </c>
      <c r="U9" s="28">
        <f t="shared" si="19"/>
        <v>0.6485849057</v>
      </c>
      <c r="V9" s="28">
        <f t="shared" si="19"/>
        <v>1.007874016</v>
      </c>
      <c r="W9" s="28">
        <f t="shared" si="19"/>
        <v>0.326625387</v>
      </c>
      <c r="X9" s="28">
        <f t="shared" si="19"/>
        <v>0.4833333333</v>
      </c>
      <c r="Y9" s="19"/>
      <c r="Z9" s="29">
        <f t="shared" ref="Z9:AD9" si="20">if(N9&gt;0,B9/N9,"No SignUps")</f>
        <v>0.7474576271</v>
      </c>
      <c r="AA9" s="29">
        <f t="shared" si="20"/>
        <v>0.9854545455</v>
      </c>
      <c r="AB9" s="29">
        <f t="shared" si="20"/>
        <v>1.05625</v>
      </c>
      <c r="AC9" s="29">
        <f t="shared" si="20"/>
        <v>0.8957345972</v>
      </c>
      <c r="AD9" s="29">
        <f t="shared" si="20"/>
        <v>0.7706896552</v>
      </c>
      <c r="AE9" s="19"/>
      <c r="AF9" s="16"/>
      <c r="AG9" s="16"/>
      <c r="AH9" s="24">
        <f t="shared" si="5"/>
        <v>1050</v>
      </c>
      <c r="AI9" s="25">
        <f t="shared" si="6"/>
        <v>2381</v>
      </c>
      <c r="AJ9" s="25">
        <f t="shared" si="7"/>
        <v>1177</v>
      </c>
      <c r="AK9" s="26">
        <f t="shared" si="8"/>
        <v>0.4943301134</v>
      </c>
      <c r="AL9" s="24">
        <f t="shared" si="9"/>
        <v>0.4409911802</v>
      </c>
      <c r="AM9" s="24">
        <f t="shared" si="10"/>
        <v>0.8920985556</v>
      </c>
    </row>
    <row r="10" ht="15.75" customHeight="1">
      <c r="A10" s="16">
        <v>42.0</v>
      </c>
      <c r="B10" s="18">
        <v>184.8</v>
      </c>
      <c r="C10" s="18">
        <v>289.6</v>
      </c>
      <c r="D10" s="18">
        <v>26.4</v>
      </c>
      <c r="E10" s="18">
        <v>525.6</v>
      </c>
      <c r="F10" s="18">
        <v>85.4</v>
      </c>
      <c r="G10" s="19"/>
      <c r="H10" s="27">
        <v>302.0</v>
      </c>
      <c r="I10" s="27">
        <v>494.0</v>
      </c>
      <c r="J10" s="27">
        <v>70.0</v>
      </c>
      <c r="K10" s="27">
        <v>1777.0</v>
      </c>
      <c r="L10" s="27">
        <v>238.0</v>
      </c>
      <c r="M10" s="21"/>
      <c r="N10" s="27">
        <v>202.0</v>
      </c>
      <c r="O10" s="27">
        <v>307.0</v>
      </c>
      <c r="P10" s="27">
        <v>34.0</v>
      </c>
      <c r="Q10" s="27">
        <v>632.0</v>
      </c>
      <c r="R10" s="27">
        <v>101.0</v>
      </c>
      <c r="S10" s="21"/>
      <c r="T10" s="28">
        <f t="shared" ref="T10:X10" si="21">if(H10&gt;0, N10/H10,"No installs")</f>
        <v>0.6688741722</v>
      </c>
      <c r="U10" s="28">
        <f t="shared" si="21"/>
        <v>0.6214574899</v>
      </c>
      <c r="V10" s="28">
        <f t="shared" si="21"/>
        <v>0.4857142857</v>
      </c>
      <c r="W10" s="28">
        <f t="shared" si="21"/>
        <v>0.3556555993</v>
      </c>
      <c r="X10" s="28">
        <f t="shared" si="21"/>
        <v>0.4243697479</v>
      </c>
      <c r="Y10" s="19"/>
      <c r="Z10" s="29">
        <f t="shared" ref="Z10:AD10" si="22">if(N10&gt;0,B10/N10,"No SignUps")</f>
        <v>0.9148514851</v>
      </c>
      <c r="AA10" s="29">
        <f t="shared" si="22"/>
        <v>0.9433224756</v>
      </c>
      <c r="AB10" s="29">
        <f t="shared" si="22"/>
        <v>0.7764705882</v>
      </c>
      <c r="AC10" s="29">
        <f t="shared" si="22"/>
        <v>0.8316455696</v>
      </c>
      <c r="AD10" s="29">
        <f t="shared" si="22"/>
        <v>0.8455445545</v>
      </c>
      <c r="AE10" s="19"/>
      <c r="AF10" s="16"/>
      <c r="AG10" s="16"/>
      <c r="AH10" s="24">
        <f t="shared" si="5"/>
        <v>1111.8</v>
      </c>
      <c r="AI10" s="25">
        <f t="shared" si="6"/>
        <v>2881</v>
      </c>
      <c r="AJ10" s="25">
        <f t="shared" si="7"/>
        <v>1276</v>
      </c>
      <c r="AK10" s="26">
        <f t="shared" si="8"/>
        <v>0.4429017702</v>
      </c>
      <c r="AL10" s="24">
        <f t="shared" si="9"/>
        <v>0.3859076709</v>
      </c>
      <c r="AM10" s="24">
        <f t="shared" si="10"/>
        <v>0.8713166144</v>
      </c>
    </row>
    <row r="11" ht="15.75" customHeight="1">
      <c r="A11" s="16">
        <v>43.0</v>
      </c>
      <c r="B11" s="18">
        <v>142.6</v>
      </c>
      <c r="C11" s="18">
        <v>189.0</v>
      </c>
      <c r="D11" s="18">
        <v>1.972</v>
      </c>
      <c r="E11" s="18">
        <v>270.2</v>
      </c>
      <c r="F11" s="18">
        <v>105.0</v>
      </c>
      <c r="G11" s="19"/>
      <c r="H11" s="27">
        <v>233.0</v>
      </c>
      <c r="I11" s="27">
        <v>296.0</v>
      </c>
      <c r="J11" s="27">
        <v>4.0</v>
      </c>
      <c r="K11" s="27">
        <v>994.0</v>
      </c>
      <c r="L11" s="27">
        <v>242.0</v>
      </c>
      <c r="M11" s="21"/>
      <c r="N11" s="27">
        <v>167.0</v>
      </c>
      <c r="O11" s="27">
        <v>177.0</v>
      </c>
      <c r="P11" s="27">
        <v>2.0</v>
      </c>
      <c r="Q11" s="27">
        <v>306.0</v>
      </c>
      <c r="R11" s="27">
        <v>114.0</v>
      </c>
      <c r="S11" s="21"/>
      <c r="T11" s="28">
        <f t="shared" ref="T11:X11" si="23">if(H11&gt;0, N11/H11,"No installs")</f>
        <v>0.7167381974</v>
      </c>
      <c r="U11" s="28">
        <f t="shared" si="23"/>
        <v>0.597972973</v>
      </c>
      <c r="V11" s="28">
        <f t="shared" si="23"/>
        <v>0.5</v>
      </c>
      <c r="W11" s="28">
        <f t="shared" si="23"/>
        <v>0.3078470825</v>
      </c>
      <c r="X11" s="28">
        <f t="shared" si="23"/>
        <v>0.4710743802</v>
      </c>
      <c r="Y11" s="19"/>
      <c r="Z11" s="29">
        <f t="shared" ref="Z11:AD11" si="24">if(N11&gt;0,B11/N11,"No SignUps")</f>
        <v>0.8538922156</v>
      </c>
      <c r="AA11" s="29">
        <f t="shared" si="24"/>
        <v>1.06779661</v>
      </c>
      <c r="AB11" s="29">
        <f t="shared" si="24"/>
        <v>0.986</v>
      </c>
      <c r="AC11" s="29">
        <f t="shared" si="24"/>
        <v>0.8830065359</v>
      </c>
      <c r="AD11" s="29">
        <f t="shared" si="24"/>
        <v>0.9210526316</v>
      </c>
      <c r="AE11" s="19"/>
      <c r="AF11" s="16"/>
      <c r="AG11" s="16"/>
      <c r="AH11" s="24">
        <f t="shared" si="5"/>
        <v>708.772</v>
      </c>
      <c r="AI11" s="25">
        <f t="shared" si="6"/>
        <v>1769</v>
      </c>
      <c r="AJ11" s="25">
        <f t="shared" si="7"/>
        <v>766</v>
      </c>
      <c r="AK11" s="26">
        <f t="shared" si="8"/>
        <v>0.4330130017</v>
      </c>
      <c r="AL11" s="24">
        <f t="shared" si="9"/>
        <v>0.4006625212</v>
      </c>
      <c r="AM11" s="24">
        <f t="shared" si="10"/>
        <v>0.9252898172</v>
      </c>
    </row>
    <row r="12" ht="15.75" customHeight="1">
      <c r="A12" s="16">
        <v>44.0</v>
      </c>
      <c r="B12" s="18">
        <v>332.6</v>
      </c>
      <c r="C12" s="18">
        <v>477.2</v>
      </c>
      <c r="D12" s="18">
        <v>5.0</v>
      </c>
      <c r="E12" s="18">
        <v>342.0</v>
      </c>
      <c r="F12" s="18">
        <v>89.6</v>
      </c>
      <c r="G12" s="19"/>
      <c r="H12" s="27">
        <v>526.0</v>
      </c>
      <c r="I12" s="27">
        <v>813.0</v>
      </c>
      <c r="J12" s="27">
        <v>5.0</v>
      </c>
      <c r="K12" s="27">
        <v>1148.0</v>
      </c>
      <c r="L12" s="27">
        <v>255.0</v>
      </c>
      <c r="M12" s="21"/>
      <c r="N12" s="27">
        <v>370.0</v>
      </c>
      <c r="O12" s="27">
        <v>517.0</v>
      </c>
      <c r="P12" s="27">
        <v>5.0</v>
      </c>
      <c r="Q12" s="27">
        <v>413.0</v>
      </c>
      <c r="R12" s="27">
        <v>116.0</v>
      </c>
      <c r="S12" s="21"/>
      <c r="T12" s="28">
        <f t="shared" ref="T12:X12" si="25">if(H12&gt;0, N12/H12,"No installs")</f>
        <v>0.7034220532</v>
      </c>
      <c r="U12" s="28">
        <f t="shared" si="25"/>
        <v>0.6359163592</v>
      </c>
      <c r="V12" s="28">
        <f t="shared" si="25"/>
        <v>1</v>
      </c>
      <c r="W12" s="28">
        <f t="shared" si="25"/>
        <v>0.3597560976</v>
      </c>
      <c r="X12" s="28">
        <f t="shared" si="25"/>
        <v>0.4549019608</v>
      </c>
      <c r="Y12" s="19"/>
      <c r="Z12" s="29">
        <f t="shared" ref="Z12:AD12" si="26">if(N12&gt;0,B12/N12,"No SignUps")</f>
        <v>0.8989189189</v>
      </c>
      <c r="AA12" s="29">
        <f t="shared" si="26"/>
        <v>0.9230174081</v>
      </c>
      <c r="AB12" s="29">
        <f t="shared" si="26"/>
        <v>1</v>
      </c>
      <c r="AC12" s="29">
        <f t="shared" si="26"/>
        <v>0.8280871671</v>
      </c>
      <c r="AD12" s="29">
        <f t="shared" si="26"/>
        <v>0.7724137931</v>
      </c>
      <c r="AE12" s="19"/>
      <c r="AF12" s="16"/>
      <c r="AG12" s="16"/>
      <c r="AH12" s="24">
        <f t="shared" si="5"/>
        <v>1246.4</v>
      </c>
      <c r="AI12" s="25">
        <f t="shared" si="6"/>
        <v>2747</v>
      </c>
      <c r="AJ12" s="25">
        <f t="shared" si="7"/>
        <v>1421</v>
      </c>
      <c r="AK12" s="26">
        <f t="shared" si="8"/>
        <v>0.5172915908</v>
      </c>
      <c r="AL12" s="24">
        <f t="shared" si="9"/>
        <v>0.4537313433</v>
      </c>
      <c r="AM12" s="24">
        <f t="shared" si="10"/>
        <v>0.8771287825</v>
      </c>
    </row>
    <row r="13" ht="15.75" customHeight="1">
      <c r="A13" s="16">
        <v>45.0</v>
      </c>
      <c r="B13" s="18">
        <v>393.0</v>
      </c>
      <c r="C13" s="18">
        <v>497.2</v>
      </c>
      <c r="D13" s="18">
        <v>14.4</v>
      </c>
      <c r="E13" s="18">
        <v>908.6</v>
      </c>
      <c r="F13" s="18">
        <v>97.6</v>
      </c>
      <c r="G13" s="19"/>
      <c r="H13" s="27">
        <v>641.0</v>
      </c>
      <c r="I13" s="27">
        <v>1058.0</v>
      </c>
      <c r="J13" s="27">
        <v>28.0</v>
      </c>
      <c r="K13" s="27">
        <v>3880.0</v>
      </c>
      <c r="L13" s="27">
        <v>225.0</v>
      </c>
      <c r="M13" s="21"/>
      <c r="N13" s="27">
        <v>506.0</v>
      </c>
      <c r="O13" s="27">
        <v>672.0</v>
      </c>
      <c r="P13" s="27">
        <v>3.0</v>
      </c>
      <c r="Q13" s="27">
        <v>1523.0</v>
      </c>
      <c r="R13" s="27">
        <v>100.0</v>
      </c>
      <c r="S13" s="21"/>
      <c r="T13" s="28">
        <f t="shared" ref="T13:X13" si="27">if(H13&gt;0, N13/H13,"No installs")</f>
        <v>0.7893915757</v>
      </c>
      <c r="U13" s="28">
        <f t="shared" si="27"/>
        <v>0.6351606805</v>
      </c>
      <c r="V13" s="28">
        <f t="shared" si="27"/>
        <v>0.1071428571</v>
      </c>
      <c r="W13" s="28">
        <f t="shared" si="27"/>
        <v>0.3925257732</v>
      </c>
      <c r="X13" s="28">
        <f t="shared" si="27"/>
        <v>0.4444444444</v>
      </c>
      <c r="Y13" s="19"/>
      <c r="Z13" s="29">
        <f t="shared" ref="Z13:AD13" si="28">if(N13&gt;0,B13/N13,"No SignUps")</f>
        <v>0.7766798419</v>
      </c>
      <c r="AA13" s="29">
        <f t="shared" si="28"/>
        <v>0.7398809524</v>
      </c>
      <c r="AB13" s="29">
        <f t="shared" si="28"/>
        <v>4.8</v>
      </c>
      <c r="AC13" s="29">
        <f t="shared" si="28"/>
        <v>0.5965856861</v>
      </c>
      <c r="AD13" s="29">
        <f t="shared" si="28"/>
        <v>0.976</v>
      </c>
      <c r="AE13" s="19"/>
      <c r="AF13" s="16"/>
      <c r="AG13" s="16"/>
      <c r="AH13" s="24">
        <f t="shared" si="5"/>
        <v>1910.8</v>
      </c>
      <c r="AI13" s="25">
        <f t="shared" si="6"/>
        <v>5832</v>
      </c>
      <c r="AJ13" s="25">
        <f t="shared" si="7"/>
        <v>2804</v>
      </c>
      <c r="AK13" s="26">
        <f t="shared" si="8"/>
        <v>0.4807956104</v>
      </c>
      <c r="AL13" s="24">
        <f t="shared" si="9"/>
        <v>0.3276406036</v>
      </c>
      <c r="AM13" s="24">
        <f t="shared" si="10"/>
        <v>0.6814550642</v>
      </c>
    </row>
    <row r="14" ht="15.75" customHeight="1">
      <c r="A14" s="16">
        <v>46.0</v>
      </c>
      <c r="B14" s="18">
        <v>288.2</v>
      </c>
      <c r="C14" s="18">
        <v>255.4</v>
      </c>
      <c r="D14" s="18">
        <v>1018.8</v>
      </c>
      <c r="E14" s="18">
        <v>450.0</v>
      </c>
      <c r="F14" s="18">
        <v>159.8</v>
      </c>
      <c r="G14" s="19"/>
      <c r="H14" s="27">
        <v>594.0</v>
      </c>
      <c r="I14" s="27">
        <v>541.0</v>
      </c>
      <c r="J14" s="27">
        <v>2554.0</v>
      </c>
      <c r="K14" s="27">
        <v>2006.0</v>
      </c>
      <c r="L14" s="27">
        <v>413.0</v>
      </c>
      <c r="M14" s="21"/>
      <c r="N14" s="27">
        <v>390.0</v>
      </c>
      <c r="O14" s="27">
        <v>343.0</v>
      </c>
      <c r="P14" s="27">
        <v>1501.0</v>
      </c>
      <c r="Q14" s="27">
        <v>875.0</v>
      </c>
      <c r="R14" s="27">
        <v>205.0</v>
      </c>
      <c r="S14" s="21"/>
      <c r="T14" s="28">
        <f t="shared" ref="T14:X14" si="29">if(H14&gt;0, N14/H14,"No installs")</f>
        <v>0.6565656566</v>
      </c>
      <c r="U14" s="28">
        <f t="shared" si="29"/>
        <v>0.6340110906</v>
      </c>
      <c r="V14" s="28">
        <f t="shared" si="29"/>
        <v>0.5877055599</v>
      </c>
      <c r="W14" s="28">
        <f t="shared" si="29"/>
        <v>0.4361914257</v>
      </c>
      <c r="X14" s="28">
        <f t="shared" si="29"/>
        <v>0.4963680387</v>
      </c>
      <c r="Y14" s="19"/>
      <c r="Z14" s="29">
        <f t="shared" ref="Z14:AD14" si="30">if(N14&gt;0,B14/N14,"No SignUps")</f>
        <v>0.738974359</v>
      </c>
      <c r="AA14" s="29">
        <f t="shared" si="30"/>
        <v>0.744606414</v>
      </c>
      <c r="AB14" s="29">
        <f t="shared" si="30"/>
        <v>0.6787475017</v>
      </c>
      <c r="AC14" s="29">
        <f t="shared" si="30"/>
        <v>0.5142857143</v>
      </c>
      <c r="AD14" s="29">
        <f t="shared" si="30"/>
        <v>0.7795121951</v>
      </c>
      <c r="AE14" s="19"/>
      <c r="AF14" s="16"/>
      <c r="AG14" s="16"/>
      <c r="AH14" s="24">
        <f t="shared" si="5"/>
        <v>2172.2</v>
      </c>
      <c r="AI14" s="25">
        <f t="shared" si="6"/>
        <v>6108</v>
      </c>
      <c r="AJ14" s="25">
        <f t="shared" si="7"/>
        <v>3314</v>
      </c>
      <c r="AK14" s="26">
        <f t="shared" si="8"/>
        <v>0.5425671251</v>
      </c>
      <c r="AL14" s="24">
        <f t="shared" si="9"/>
        <v>0.3556319581</v>
      </c>
      <c r="AM14" s="24">
        <f t="shared" si="10"/>
        <v>0.6554616777</v>
      </c>
    </row>
    <row r="15" ht="15.75" customHeight="1">
      <c r="A15" s="16">
        <v>47.0</v>
      </c>
      <c r="B15" s="18">
        <v>282.6</v>
      </c>
      <c r="C15" s="18">
        <v>164.0</v>
      </c>
      <c r="D15" s="18">
        <v>916.8</v>
      </c>
      <c r="E15" s="18">
        <v>165.2</v>
      </c>
      <c r="F15" s="18">
        <v>178.6</v>
      </c>
      <c r="G15" s="19"/>
      <c r="H15" s="27">
        <v>562.0</v>
      </c>
      <c r="I15" s="27">
        <v>289.0</v>
      </c>
      <c r="J15" s="27">
        <v>2210.0</v>
      </c>
      <c r="K15" s="27">
        <v>768.0</v>
      </c>
      <c r="L15" s="27">
        <v>491.0</v>
      </c>
      <c r="M15" s="21"/>
      <c r="N15" s="27">
        <v>322.0</v>
      </c>
      <c r="O15" s="27">
        <v>177.0</v>
      </c>
      <c r="P15" s="27">
        <v>1332.0</v>
      </c>
      <c r="Q15" s="27">
        <v>333.0</v>
      </c>
      <c r="R15" s="27">
        <v>262.0</v>
      </c>
      <c r="S15" s="21"/>
      <c r="T15" s="28">
        <f t="shared" ref="T15:X15" si="31">if(H15&gt;0, N15/H15,"No installs")</f>
        <v>0.5729537367</v>
      </c>
      <c r="U15" s="28">
        <f t="shared" si="31"/>
        <v>0.6124567474</v>
      </c>
      <c r="V15" s="28">
        <f t="shared" si="31"/>
        <v>0.6027149321</v>
      </c>
      <c r="W15" s="28">
        <f t="shared" si="31"/>
        <v>0.43359375</v>
      </c>
      <c r="X15" s="28">
        <f t="shared" si="31"/>
        <v>0.533604888</v>
      </c>
      <c r="Y15" s="19"/>
      <c r="Z15" s="29">
        <f t="shared" ref="Z15:AD15" si="32">if(N15&gt;0,B15/N15,"No SignUps")</f>
        <v>0.8776397516</v>
      </c>
      <c r="AA15" s="29">
        <f t="shared" si="32"/>
        <v>0.9265536723</v>
      </c>
      <c r="AB15" s="29">
        <f t="shared" si="32"/>
        <v>0.6882882883</v>
      </c>
      <c r="AC15" s="29">
        <f t="shared" si="32"/>
        <v>0.4960960961</v>
      </c>
      <c r="AD15" s="29">
        <f t="shared" si="32"/>
        <v>0.6816793893</v>
      </c>
      <c r="AE15" s="19"/>
      <c r="AF15" s="16"/>
      <c r="AG15" s="16"/>
      <c r="AH15" s="24">
        <f t="shared" si="5"/>
        <v>1707.2</v>
      </c>
      <c r="AI15" s="25">
        <f t="shared" si="6"/>
        <v>4320</v>
      </c>
      <c r="AJ15" s="25">
        <f t="shared" si="7"/>
        <v>2426</v>
      </c>
      <c r="AK15" s="26">
        <f t="shared" si="8"/>
        <v>0.5615740741</v>
      </c>
      <c r="AL15" s="24">
        <f t="shared" si="9"/>
        <v>0.3951851852</v>
      </c>
      <c r="AM15" s="24">
        <f t="shared" si="10"/>
        <v>0.7037098104</v>
      </c>
    </row>
    <row r="16" ht="15.75" customHeight="1">
      <c r="A16" s="16">
        <v>48.0</v>
      </c>
      <c r="B16" s="18">
        <v>148.6</v>
      </c>
      <c r="C16" s="18">
        <v>182.0</v>
      </c>
      <c r="D16" s="18">
        <v>670.2</v>
      </c>
      <c r="E16" s="18">
        <v>316.6</v>
      </c>
      <c r="F16" s="18">
        <v>136.2</v>
      </c>
      <c r="G16" s="19"/>
      <c r="H16" s="27">
        <v>292.0</v>
      </c>
      <c r="I16" s="27">
        <v>316.0</v>
      </c>
      <c r="J16" s="27">
        <v>1229.0</v>
      </c>
      <c r="K16" s="27">
        <v>1199.0</v>
      </c>
      <c r="L16" s="27">
        <v>325.0</v>
      </c>
      <c r="M16" s="21"/>
      <c r="N16" s="27">
        <v>168.0</v>
      </c>
      <c r="O16" s="27">
        <v>208.0</v>
      </c>
      <c r="P16" s="27">
        <v>761.0</v>
      </c>
      <c r="Q16" s="27">
        <v>513.0</v>
      </c>
      <c r="R16" s="27">
        <v>185.0</v>
      </c>
      <c r="S16" s="21"/>
      <c r="T16" s="28">
        <f t="shared" ref="T16:X16" si="33">if(H16&gt;0, N16/H16,"No installs")</f>
        <v>0.5753424658</v>
      </c>
      <c r="U16" s="28">
        <f t="shared" si="33"/>
        <v>0.6582278481</v>
      </c>
      <c r="V16" s="28">
        <f t="shared" si="33"/>
        <v>0.6192026037</v>
      </c>
      <c r="W16" s="28">
        <f t="shared" si="33"/>
        <v>0.4278565471</v>
      </c>
      <c r="X16" s="28">
        <f t="shared" si="33"/>
        <v>0.5692307692</v>
      </c>
      <c r="Y16" s="19"/>
      <c r="Z16" s="29">
        <f t="shared" ref="Z16:AD16" si="34">if(N16&gt;0,B16/N16,"No SignUps")</f>
        <v>0.8845238095</v>
      </c>
      <c r="AA16" s="29">
        <f t="shared" si="34"/>
        <v>0.875</v>
      </c>
      <c r="AB16" s="29">
        <f t="shared" si="34"/>
        <v>0.8806833114</v>
      </c>
      <c r="AC16" s="29">
        <f t="shared" si="34"/>
        <v>0.6171539961</v>
      </c>
      <c r="AD16" s="29">
        <f t="shared" si="34"/>
        <v>0.7362162162</v>
      </c>
      <c r="AE16" s="19"/>
      <c r="AF16" s="16"/>
      <c r="AG16" s="16"/>
      <c r="AH16" s="24">
        <f t="shared" si="5"/>
        <v>1453.6</v>
      </c>
      <c r="AI16" s="25">
        <f t="shared" si="6"/>
        <v>3361</v>
      </c>
      <c r="AJ16" s="25">
        <f t="shared" si="7"/>
        <v>1835</v>
      </c>
      <c r="AK16" s="26">
        <f t="shared" si="8"/>
        <v>0.5459684618</v>
      </c>
      <c r="AL16" s="24">
        <f t="shared" si="9"/>
        <v>0.4324903303</v>
      </c>
      <c r="AM16" s="24">
        <f t="shared" si="10"/>
        <v>0.7921525886</v>
      </c>
    </row>
    <row r="17" ht="15.75" customHeight="1">
      <c r="A17" s="16">
        <v>49.0</v>
      </c>
      <c r="B17" s="18">
        <v>215.8</v>
      </c>
      <c r="C17" s="18">
        <v>207.6</v>
      </c>
      <c r="D17" s="18">
        <v>666.6</v>
      </c>
      <c r="E17" s="18">
        <v>393.8</v>
      </c>
      <c r="F17" s="18">
        <v>128.0</v>
      </c>
      <c r="G17" s="19"/>
      <c r="H17" s="27">
        <v>371.0</v>
      </c>
      <c r="I17" s="27">
        <v>433.0</v>
      </c>
      <c r="J17" s="27">
        <v>1031.0</v>
      </c>
      <c r="K17" s="27">
        <v>1413.0</v>
      </c>
      <c r="L17" s="27">
        <v>526.0</v>
      </c>
      <c r="M17" s="21"/>
      <c r="N17" s="27">
        <v>223.0</v>
      </c>
      <c r="O17" s="27">
        <v>227.0</v>
      </c>
      <c r="P17" s="27">
        <v>608.0</v>
      </c>
      <c r="Q17" s="27">
        <v>510.0</v>
      </c>
      <c r="R17" s="27">
        <v>167.0</v>
      </c>
      <c r="S17" s="21"/>
      <c r="T17" s="28">
        <f t="shared" ref="T17:X17" si="35">if(H17&gt;0, N17/H17,"No installs")</f>
        <v>0.6010781671</v>
      </c>
      <c r="U17" s="28">
        <f t="shared" si="35"/>
        <v>0.5242494226</v>
      </c>
      <c r="V17" s="28">
        <f t="shared" si="35"/>
        <v>0.5897187197</v>
      </c>
      <c r="W17" s="28">
        <f t="shared" si="35"/>
        <v>0.3609341826</v>
      </c>
      <c r="X17" s="28">
        <f t="shared" si="35"/>
        <v>0.3174904943</v>
      </c>
      <c r="Y17" s="19"/>
      <c r="Z17" s="29">
        <f t="shared" ref="Z17:AD17" si="36">if(N17&gt;0,B17/N17,"No SignUps")</f>
        <v>0.9677130045</v>
      </c>
      <c r="AA17" s="29">
        <f t="shared" si="36"/>
        <v>0.9145374449</v>
      </c>
      <c r="AB17" s="29">
        <f t="shared" si="36"/>
        <v>1.096381579</v>
      </c>
      <c r="AC17" s="29">
        <f t="shared" si="36"/>
        <v>0.7721568627</v>
      </c>
      <c r="AD17" s="29">
        <f t="shared" si="36"/>
        <v>0.7664670659</v>
      </c>
      <c r="AE17" s="19"/>
      <c r="AF17" s="16"/>
      <c r="AG17" s="16"/>
      <c r="AH17" s="24">
        <f t="shared" si="5"/>
        <v>1611.8</v>
      </c>
      <c r="AI17" s="25">
        <f t="shared" si="6"/>
        <v>3774</v>
      </c>
      <c r="AJ17" s="25">
        <f t="shared" si="7"/>
        <v>1735</v>
      </c>
      <c r="AK17" s="26">
        <f t="shared" si="8"/>
        <v>0.4597244303</v>
      </c>
      <c r="AL17" s="24">
        <f t="shared" si="9"/>
        <v>0.4270800212</v>
      </c>
      <c r="AM17" s="24">
        <f t="shared" si="10"/>
        <v>0.9289913545</v>
      </c>
    </row>
    <row r="18" ht="15.75" customHeight="1">
      <c r="A18" s="16">
        <v>50.0</v>
      </c>
      <c r="B18" s="18">
        <v>153.0</v>
      </c>
      <c r="C18" s="18">
        <v>220.6</v>
      </c>
      <c r="D18" s="18">
        <v>229.0</v>
      </c>
      <c r="E18" s="18">
        <v>364.4</v>
      </c>
      <c r="F18" s="18">
        <v>111.2</v>
      </c>
      <c r="G18" s="19"/>
      <c r="H18" s="27">
        <v>273.0</v>
      </c>
      <c r="I18" s="27">
        <v>416.0</v>
      </c>
      <c r="J18" s="27">
        <v>354.0</v>
      </c>
      <c r="K18" s="27">
        <v>1273.0</v>
      </c>
      <c r="L18" s="27">
        <v>252.0</v>
      </c>
      <c r="M18" s="21"/>
      <c r="N18" s="27">
        <v>209.0</v>
      </c>
      <c r="O18" s="27">
        <v>229.0</v>
      </c>
      <c r="P18" s="27">
        <v>263.0</v>
      </c>
      <c r="Q18" s="27">
        <v>545.0</v>
      </c>
      <c r="R18" s="27">
        <v>114.0</v>
      </c>
      <c r="S18" s="21"/>
      <c r="T18" s="28">
        <f t="shared" ref="T18:X18" si="37">if(H18&gt;0, N18/H18,"No installs")</f>
        <v>0.7655677656</v>
      </c>
      <c r="U18" s="28">
        <f t="shared" si="37"/>
        <v>0.5504807692</v>
      </c>
      <c r="V18" s="28">
        <f t="shared" si="37"/>
        <v>0.7429378531</v>
      </c>
      <c r="W18" s="28">
        <f t="shared" si="37"/>
        <v>0.4281225452</v>
      </c>
      <c r="X18" s="28">
        <f t="shared" si="37"/>
        <v>0.4523809524</v>
      </c>
      <c r="Y18" s="19"/>
      <c r="Z18" s="29">
        <f t="shared" ref="Z18:AD18" si="38">if(N18&gt;0,B18/N18,"No SignUps")</f>
        <v>0.7320574163</v>
      </c>
      <c r="AA18" s="29">
        <f t="shared" si="38"/>
        <v>0.9633187773</v>
      </c>
      <c r="AB18" s="29">
        <f t="shared" si="38"/>
        <v>0.8707224335</v>
      </c>
      <c r="AC18" s="29">
        <f t="shared" si="38"/>
        <v>0.6686238532</v>
      </c>
      <c r="AD18" s="29">
        <f t="shared" si="38"/>
        <v>0.9754385965</v>
      </c>
      <c r="AE18" s="19"/>
      <c r="AF18" s="16"/>
      <c r="AG18" s="16"/>
      <c r="AH18" s="24">
        <f t="shared" si="5"/>
        <v>1078.2</v>
      </c>
      <c r="AI18" s="25">
        <f t="shared" si="6"/>
        <v>2568</v>
      </c>
      <c r="AJ18" s="25">
        <f t="shared" si="7"/>
        <v>1360</v>
      </c>
      <c r="AK18" s="26">
        <f t="shared" si="8"/>
        <v>0.5295950156</v>
      </c>
      <c r="AL18" s="24">
        <f t="shared" si="9"/>
        <v>0.4198598131</v>
      </c>
      <c r="AM18" s="24">
        <f t="shared" si="10"/>
        <v>0.7927941176</v>
      </c>
    </row>
    <row r="19" ht="15.75" customHeight="1">
      <c r="A19" s="16">
        <v>51.0</v>
      </c>
      <c r="B19" s="18">
        <v>212.8</v>
      </c>
      <c r="C19" s="18">
        <v>267.4</v>
      </c>
      <c r="D19" s="18">
        <v>181.6</v>
      </c>
      <c r="E19" s="18">
        <v>236.4</v>
      </c>
      <c r="F19" s="18">
        <v>109.0</v>
      </c>
      <c r="G19" s="19"/>
      <c r="H19" s="27">
        <v>309.0</v>
      </c>
      <c r="I19" s="27">
        <v>413.0</v>
      </c>
      <c r="J19" s="27">
        <v>193.0</v>
      </c>
      <c r="K19" s="27">
        <v>771.0</v>
      </c>
      <c r="L19" s="27">
        <v>246.0</v>
      </c>
      <c r="M19" s="21"/>
      <c r="N19" s="27">
        <v>200.0</v>
      </c>
      <c r="O19" s="27">
        <v>200.0</v>
      </c>
      <c r="P19" s="27">
        <v>113.0</v>
      </c>
      <c r="Q19" s="27">
        <v>258.0</v>
      </c>
      <c r="R19" s="27">
        <v>133.0</v>
      </c>
      <c r="S19" s="21"/>
      <c r="T19" s="28">
        <f t="shared" ref="T19:X19" si="39">if(H19&gt;0, N19/H19,"No installs")</f>
        <v>0.6472491909</v>
      </c>
      <c r="U19" s="28">
        <f t="shared" si="39"/>
        <v>0.4842615012</v>
      </c>
      <c r="V19" s="28">
        <f t="shared" si="39"/>
        <v>0.585492228</v>
      </c>
      <c r="W19" s="28">
        <f t="shared" si="39"/>
        <v>0.3346303502</v>
      </c>
      <c r="X19" s="28">
        <f t="shared" si="39"/>
        <v>0.5406504065</v>
      </c>
      <c r="Y19" s="19"/>
      <c r="Z19" s="29">
        <f t="shared" ref="Z19:AD19" si="40">if(N19&gt;0,B19/N19,"No SignUps")</f>
        <v>1.064</v>
      </c>
      <c r="AA19" s="29">
        <f t="shared" si="40"/>
        <v>1.337</v>
      </c>
      <c r="AB19" s="29">
        <f t="shared" si="40"/>
        <v>1.607079646</v>
      </c>
      <c r="AC19" s="29">
        <f t="shared" si="40"/>
        <v>0.9162790698</v>
      </c>
      <c r="AD19" s="29">
        <f t="shared" si="40"/>
        <v>0.8195488722</v>
      </c>
      <c r="AE19" s="19"/>
      <c r="AF19" s="16"/>
      <c r="AG19" s="16"/>
      <c r="AH19" s="24">
        <f t="shared" si="5"/>
        <v>1007.2</v>
      </c>
      <c r="AI19" s="25">
        <f t="shared" si="6"/>
        <v>1932</v>
      </c>
      <c r="AJ19" s="25">
        <f t="shared" si="7"/>
        <v>904</v>
      </c>
      <c r="AK19" s="26">
        <f t="shared" si="8"/>
        <v>0.4679089027</v>
      </c>
      <c r="AL19" s="24">
        <f t="shared" si="9"/>
        <v>0.5213250518</v>
      </c>
      <c r="AM19" s="24">
        <f t="shared" si="10"/>
        <v>1.114159292</v>
      </c>
    </row>
    <row r="20" ht="15.75" customHeight="1">
      <c r="A20" s="16">
        <v>52.0</v>
      </c>
      <c r="B20" s="18">
        <v>291.6</v>
      </c>
      <c r="C20" s="18">
        <v>356.4</v>
      </c>
      <c r="D20" s="18">
        <v>50.0</v>
      </c>
      <c r="E20" s="18">
        <v>293.6</v>
      </c>
      <c r="F20" s="18">
        <v>130.2</v>
      </c>
      <c r="G20" s="19"/>
      <c r="H20" s="27">
        <v>441.0</v>
      </c>
      <c r="I20" s="27">
        <v>522.0</v>
      </c>
      <c r="J20" s="27">
        <v>69.0</v>
      </c>
      <c r="K20" s="27">
        <v>1074.0</v>
      </c>
      <c r="L20" s="27">
        <v>274.0</v>
      </c>
      <c r="M20" s="21"/>
      <c r="N20" s="27">
        <v>249.0</v>
      </c>
      <c r="O20" s="27">
        <v>238.0</v>
      </c>
      <c r="P20" s="27">
        <v>16.0</v>
      </c>
      <c r="Q20" s="27">
        <v>305.0</v>
      </c>
      <c r="R20" s="27">
        <v>142.0</v>
      </c>
      <c r="S20" s="21"/>
      <c r="T20" s="28">
        <f t="shared" ref="T20:X20" si="41">if(H20&gt;0, N20/H20,"No installs")</f>
        <v>0.5646258503</v>
      </c>
      <c r="U20" s="28">
        <f t="shared" si="41"/>
        <v>0.4559386973</v>
      </c>
      <c r="V20" s="28">
        <f t="shared" si="41"/>
        <v>0.231884058</v>
      </c>
      <c r="W20" s="28">
        <f t="shared" si="41"/>
        <v>0.2839851024</v>
      </c>
      <c r="X20" s="28">
        <f t="shared" si="41"/>
        <v>0.5182481752</v>
      </c>
      <c r="Y20" s="19"/>
      <c r="Z20" s="29">
        <f t="shared" ref="Z20:AD20" si="42">if(N20&gt;0,B20/N20,"No SignUps")</f>
        <v>1.171084337</v>
      </c>
      <c r="AA20" s="29">
        <f t="shared" si="42"/>
        <v>1.497478992</v>
      </c>
      <c r="AB20" s="29">
        <f t="shared" si="42"/>
        <v>3.125</v>
      </c>
      <c r="AC20" s="29">
        <f t="shared" si="42"/>
        <v>0.9626229508</v>
      </c>
      <c r="AD20" s="29">
        <f t="shared" si="42"/>
        <v>0.9169014085</v>
      </c>
      <c r="AE20" s="19"/>
      <c r="AF20" s="16"/>
      <c r="AG20" s="16"/>
      <c r="AH20" s="24">
        <f t="shared" si="5"/>
        <v>1121.8</v>
      </c>
      <c r="AI20" s="25">
        <f t="shared" si="6"/>
        <v>2380</v>
      </c>
      <c r="AJ20" s="25">
        <f t="shared" si="7"/>
        <v>950</v>
      </c>
      <c r="AK20" s="26">
        <f t="shared" si="8"/>
        <v>0.3991596639</v>
      </c>
      <c r="AL20" s="24">
        <f t="shared" si="9"/>
        <v>0.4713445378</v>
      </c>
      <c r="AM20" s="24">
        <f t="shared" si="10"/>
        <v>1.180842105</v>
      </c>
    </row>
    <row r="21" ht="15.75" customHeight="1">
      <c r="A21" s="16">
        <v>1.0</v>
      </c>
      <c r="B21" s="18">
        <v>324.4</v>
      </c>
      <c r="C21" s="18">
        <v>422.6</v>
      </c>
      <c r="D21" s="18">
        <v>40.4</v>
      </c>
      <c r="E21" s="18">
        <v>320.6</v>
      </c>
      <c r="F21" s="18">
        <v>134.4</v>
      </c>
      <c r="G21" s="19"/>
      <c r="H21" s="27">
        <v>488.0</v>
      </c>
      <c r="I21" s="27">
        <v>646.0</v>
      </c>
      <c r="J21" s="27">
        <v>61.0</v>
      </c>
      <c r="K21" s="27">
        <v>1144.0</v>
      </c>
      <c r="L21" s="27">
        <v>266.0</v>
      </c>
      <c r="M21" s="21"/>
      <c r="N21" s="27">
        <v>277.0</v>
      </c>
      <c r="O21" s="27">
        <v>294.0</v>
      </c>
      <c r="P21" s="27">
        <v>12.0</v>
      </c>
      <c r="Q21" s="27">
        <v>311.0</v>
      </c>
      <c r="R21" s="27">
        <v>109.0</v>
      </c>
      <c r="S21" s="21"/>
      <c r="T21" s="28">
        <f t="shared" ref="T21:X21" si="43">if(H21&gt;0, N21/H21,"No installs")</f>
        <v>0.5676229508</v>
      </c>
      <c r="U21" s="28">
        <f t="shared" si="43"/>
        <v>0.4551083591</v>
      </c>
      <c r="V21" s="28">
        <f t="shared" si="43"/>
        <v>0.1967213115</v>
      </c>
      <c r="W21" s="28">
        <f t="shared" si="43"/>
        <v>0.2718531469</v>
      </c>
      <c r="X21" s="28">
        <f t="shared" si="43"/>
        <v>0.4097744361</v>
      </c>
      <c r="Y21" s="19"/>
      <c r="Z21" s="29">
        <f t="shared" ref="Z21:AD21" si="44">if(N21&gt;0,B21/N21,"No SignUps")</f>
        <v>1.171119134</v>
      </c>
      <c r="AA21" s="29">
        <f t="shared" si="44"/>
        <v>1.437414966</v>
      </c>
      <c r="AB21" s="29">
        <f t="shared" si="44"/>
        <v>3.366666667</v>
      </c>
      <c r="AC21" s="29">
        <f t="shared" si="44"/>
        <v>1.030868167</v>
      </c>
      <c r="AD21" s="29">
        <f t="shared" si="44"/>
        <v>1.233027523</v>
      </c>
      <c r="AE21" s="19"/>
      <c r="AF21" s="16"/>
      <c r="AG21" s="16"/>
      <c r="AH21" s="24">
        <f t="shared" si="5"/>
        <v>1242.4</v>
      </c>
      <c r="AI21" s="25">
        <f t="shared" si="6"/>
        <v>2605</v>
      </c>
      <c r="AJ21" s="25">
        <f t="shared" si="7"/>
        <v>1003</v>
      </c>
      <c r="AK21" s="26">
        <f t="shared" si="8"/>
        <v>0.3850287908</v>
      </c>
      <c r="AL21" s="24">
        <f t="shared" si="9"/>
        <v>0.4769289827</v>
      </c>
      <c r="AM21" s="24">
        <f t="shared" si="10"/>
        <v>1.238683948</v>
      </c>
    </row>
    <row r="22" ht="15.75" customHeight="1">
      <c r="A22" s="16">
        <v>2.0</v>
      </c>
      <c r="B22" s="18">
        <v>201.6</v>
      </c>
      <c r="C22" s="18">
        <v>281.0</v>
      </c>
      <c r="D22" s="18">
        <v>33.2</v>
      </c>
      <c r="E22" s="18">
        <v>325.2</v>
      </c>
      <c r="F22" s="18">
        <v>128.4</v>
      </c>
      <c r="G22" s="19"/>
      <c r="H22" s="27">
        <v>293.0</v>
      </c>
      <c r="I22" s="27">
        <v>408.0</v>
      </c>
      <c r="J22" s="27">
        <v>44.0</v>
      </c>
      <c r="K22" s="27">
        <v>1143.0</v>
      </c>
      <c r="L22" s="27">
        <v>270.0</v>
      </c>
      <c r="M22" s="21"/>
      <c r="N22" s="27">
        <v>204.0</v>
      </c>
      <c r="O22" s="27">
        <v>230.0</v>
      </c>
      <c r="P22" s="27">
        <v>12.0</v>
      </c>
      <c r="Q22" s="27">
        <v>296.0</v>
      </c>
      <c r="R22" s="27">
        <v>139.0</v>
      </c>
      <c r="S22" s="21"/>
      <c r="T22" s="28">
        <f t="shared" ref="T22:X22" si="45">if(H22&gt;0, N22/H22,"No installs")</f>
        <v>0.6962457338</v>
      </c>
      <c r="U22" s="28">
        <f t="shared" si="45"/>
        <v>0.5637254902</v>
      </c>
      <c r="V22" s="28">
        <f t="shared" si="45"/>
        <v>0.2727272727</v>
      </c>
      <c r="W22" s="28">
        <f t="shared" si="45"/>
        <v>0.258967629</v>
      </c>
      <c r="X22" s="28">
        <f t="shared" si="45"/>
        <v>0.5148148148</v>
      </c>
      <c r="Y22" s="19"/>
      <c r="Z22" s="29">
        <f t="shared" ref="Z22:AD22" si="46">if(N22&gt;0,B22/N22,"No SignUps")</f>
        <v>0.9882352941</v>
      </c>
      <c r="AA22" s="29">
        <f t="shared" si="46"/>
        <v>1.22173913</v>
      </c>
      <c r="AB22" s="29">
        <f t="shared" si="46"/>
        <v>2.766666667</v>
      </c>
      <c r="AC22" s="29">
        <f t="shared" si="46"/>
        <v>1.098648649</v>
      </c>
      <c r="AD22" s="29">
        <f t="shared" si="46"/>
        <v>0.9237410072</v>
      </c>
      <c r="AE22" s="19"/>
      <c r="AF22" s="16"/>
      <c r="AG22" s="16"/>
      <c r="AH22" s="24">
        <f t="shared" si="5"/>
        <v>969.4</v>
      </c>
      <c r="AI22" s="25">
        <f t="shared" si="6"/>
        <v>2158</v>
      </c>
      <c r="AJ22" s="25">
        <f t="shared" si="7"/>
        <v>881</v>
      </c>
      <c r="AK22" s="26">
        <f t="shared" si="8"/>
        <v>0.4082483781</v>
      </c>
      <c r="AL22" s="24">
        <f t="shared" si="9"/>
        <v>0.4492122335</v>
      </c>
      <c r="AM22" s="24">
        <f t="shared" si="10"/>
        <v>1.100340522</v>
      </c>
    </row>
    <row r="23" ht="15.75" customHeight="1">
      <c r="A23" s="16">
        <v>3.0</v>
      </c>
      <c r="B23" s="18">
        <v>162.4</v>
      </c>
      <c r="C23" s="18">
        <v>168.0</v>
      </c>
      <c r="D23" s="18">
        <v>36.6</v>
      </c>
      <c r="E23" s="18">
        <v>436.8</v>
      </c>
      <c r="F23" s="18">
        <v>97.8</v>
      </c>
      <c r="G23" s="19"/>
      <c r="H23" s="27">
        <v>248.0</v>
      </c>
      <c r="I23" s="27">
        <v>232.0</v>
      </c>
      <c r="J23" s="27">
        <v>54.0</v>
      </c>
      <c r="K23" s="27">
        <v>1491.0</v>
      </c>
      <c r="L23" s="27">
        <v>405.0</v>
      </c>
      <c r="M23" s="21"/>
      <c r="N23" s="27">
        <v>177.0</v>
      </c>
      <c r="O23" s="27">
        <v>143.0</v>
      </c>
      <c r="P23" s="27">
        <v>11.0</v>
      </c>
      <c r="Q23" s="27">
        <v>320.0</v>
      </c>
      <c r="R23" s="27">
        <v>119.0</v>
      </c>
      <c r="S23" s="21"/>
      <c r="T23" s="28">
        <f t="shared" ref="T23:X23" si="47">if(H23&gt;0, N23/H23,"No installs")</f>
        <v>0.7137096774</v>
      </c>
      <c r="U23" s="28">
        <f t="shared" si="47"/>
        <v>0.6163793103</v>
      </c>
      <c r="V23" s="28">
        <f t="shared" si="47"/>
        <v>0.2037037037</v>
      </c>
      <c r="W23" s="28">
        <f t="shared" si="47"/>
        <v>0.2146210597</v>
      </c>
      <c r="X23" s="28">
        <f t="shared" si="47"/>
        <v>0.2938271605</v>
      </c>
      <c r="Y23" s="19"/>
      <c r="Z23" s="29">
        <f t="shared" ref="Z23:AD23" si="48">if(N23&gt;0,B23/N23,"No SignUps")</f>
        <v>0.9175141243</v>
      </c>
      <c r="AA23" s="29">
        <f t="shared" si="48"/>
        <v>1.174825175</v>
      </c>
      <c r="AB23" s="29">
        <f t="shared" si="48"/>
        <v>3.327272727</v>
      </c>
      <c r="AC23" s="29">
        <f t="shared" si="48"/>
        <v>1.365</v>
      </c>
      <c r="AD23" s="29">
        <f t="shared" si="48"/>
        <v>0.8218487395</v>
      </c>
      <c r="AE23" s="19"/>
      <c r="AF23" s="16"/>
      <c r="AG23" s="16"/>
      <c r="AH23" s="24">
        <f t="shared" si="5"/>
        <v>901.6</v>
      </c>
      <c r="AI23" s="25">
        <f t="shared" si="6"/>
        <v>2430</v>
      </c>
      <c r="AJ23" s="25">
        <f t="shared" si="7"/>
        <v>770</v>
      </c>
      <c r="AK23" s="26">
        <f t="shared" si="8"/>
        <v>0.316872428</v>
      </c>
      <c r="AL23" s="24">
        <f t="shared" si="9"/>
        <v>0.3710288066</v>
      </c>
      <c r="AM23" s="24">
        <f t="shared" si="10"/>
        <v>1.170909091</v>
      </c>
    </row>
    <row r="24" ht="15.75" customHeight="1">
      <c r="A24" s="16">
        <v>4.0</v>
      </c>
      <c r="B24" s="18">
        <v>0.0</v>
      </c>
      <c r="C24" s="18">
        <v>0.0</v>
      </c>
      <c r="D24" s="18">
        <v>0.0</v>
      </c>
      <c r="E24" s="18">
        <v>0.0</v>
      </c>
      <c r="F24" s="18">
        <v>0.0</v>
      </c>
      <c r="G24" s="19"/>
      <c r="H24" s="27"/>
      <c r="I24" s="27"/>
      <c r="J24" s="27"/>
      <c r="K24" s="27"/>
      <c r="L24" s="27"/>
      <c r="M24" s="21"/>
      <c r="N24" s="27"/>
      <c r="O24" s="27"/>
      <c r="P24" s="27"/>
      <c r="Q24" s="27"/>
      <c r="R24" s="27"/>
      <c r="S24" s="21"/>
      <c r="T24" s="28" t="str">
        <f>if(H24&gt;0, N24/H24,"No installs")</f>
        <v>No installs</v>
      </c>
      <c r="U24" s="28"/>
      <c r="V24" s="28"/>
      <c r="W24" s="28"/>
      <c r="X24" s="28"/>
      <c r="Y24" s="19"/>
      <c r="Z24" s="29"/>
      <c r="AA24" s="29"/>
      <c r="AB24" s="29"/>
      <c r="AC24" s="29"/>
      <c r="AD24" s="29"/>
      <c r="AE24" s="19"/>
      <c r="AF24" s="16"/>
      <c r="AG24" s="16"/>
      <c r="AH24" s="24"/>
      <c r="AI24" s="25"/>
      <c r="AJ24" s="25"/>
      <c r="AK24" s="26"/>
      <c r="AL24" s="24"/>
      <c r="AM24" s="24"/>
    </row>
    <row r="25" ht="15.75" customHeight="1">
      <c r="A25" s="16">
        <v>5.0</v>
      </c>
      <c r="B25" s="18">
        <v>0.0</v>
      </c>
      <c r="C25" s="18">
        <v>0.0</v>
      </c>
      <c r="D25" s="18">
        <v>0.0</v>
      </c>
      <c r="E25" s="18">
        <v>0.0</v>
      </c>
      <c r="F25" s="18">
        <v>0.0</v>
      </c>
      <c r="G25" s="19"/>
      <c r="H25" s="27"/>
      <c r="I25" s="27"/>
      <c r="J25" s="27"/>
      <c r="K25" s="27"/>
      <c r="L25" s="27"/>
      <c r="M25" s="21"/>
      <c r="N25" s="27"/>
      <c r="O25" s="27"/>
      <c r="P25" s="27"/>
      <c r="Q25" s="27"/>
      <c r="R25" s="27"/>
      <c r="S25" s="21"/>
      <c r="T25" s="28"/>
      <c r="U25" s="28"/>
      <c r="V25" s="28"/>
      <c r="W25" s="28"/>
      <c r="X25" s="28"/>
      <c r="Y25" s="19"/>
      <c r="Z25" s="29"/>
      <c r="AA25" s="29"/>
      <c r="AB25" s="29"/>
      <c r="AC25" s="29"/>
      <c r="AD25" s="29"/>
      <c r="AE25" s="19"/>
      <c r="AF25" s="16"/>
      <c r="AG25" s="16"/>
      <c r="AH25" s="24"/>
      <c r="AI25" s="25"/>
      <c r="AJ25" s="25"/>
      <c r="AK25" s="26"/>
      <c r="AL25" s="24"/>
      <c r="AM25" s="24"/>
    </row>
    <row r="26" ht="15.75" customHeight="1">
      <c r="A26" s="16">
        <v>6.0</v>
      </c>
      <c r="B26" s="18">
        <v>0.0</v>
      </c>
      <c r="C26" s="18">
        <v>0.0</v>
      </c>
      <c r="D26" s="18">
        <v>0.0</v>
      </c>
      <c r="E26" s="18">
        <v>0.0</v>
      </c>
      <c r="F26" s="18">
        <v>0.0</v>
      </c>
      <c r="G26" s="19"/>
      <c r="H26" s="27"/>
      <c r="I26" s="27"/>
      <c r="J26" s="27"/>
      <c r="K26" s="27"/>
      <c r="L26" s="27"/>
      <c r="M26" s="21"/>
      <c r="N26" s="27"/>
      <c r="O26" s="27"/>
      <c r="P26" s="27"/>
      <c r="Q26" s="27"/>
      <c r="R26" s="27"/>
      <c r="S26" s="21"/>
      <c r="T26" s="28"/>
      <c r="U26" s="28"/>
      <c r="V26" s="28"/>
      <c r="W26" s="28"/>
      <c r="X26" s="28"/>
      <c r="Y26" s="19"/>
      <c r="Z26" s="29"/>
      <c r="AA26" s="29"/>
      <c r="AB26" s="29"/>
      <c r="AC26" s="29"/>
      <c r="AD26" s="29"/>
      <c r="AE26" s="19"/>
      <c r="AF26" s="16"/>
      <c r="AG26" s="16"/>
      <c r="AH26" s="24"/>
      <c r="AI26" s="25"/>
      <c r="AJ26" s="25"/>
      <c r="AK26" s="26"/>
      <c r="AL26" s="24"/>
      <c r="AM26" s="24"/>
    </row>
    <row r="27" ht="15.75" customHeight="1">
      <c r="A27" s="16">
        <v>7.0</v>
      </c>
      <c r="B27" s="18">
        <v>0.0</v>
      </c>
      <c r="C27" s="18">
        <v>0.0</v>
      </c>
      <c r="D27" s="18">
        <v>0.0</v>
      </c>
      <c r="E27" s="18">
        <v>0.0</v>
      </c>
      <c r="F27" s="18">
        <v>0.0</v>
      </c>
      <c r="G27" s="19"/>
      <c r="H27" s="27"/>
      <c r="I27" s="27"/>
      <c r="J27" s="27"/>
      <c r="K27" s="27"/>
      <c r="L27" s="27"/>
      <c r="M27" s="21"/>
      <c r="N27" s="27"/>
      <c r="O27" s="27"/>
      <c r="P27" s="27"/>
      <c r="Q27" s="27"/>
      <c r="R27" s="27"/>
      <c r="S27" s="21"/>
      <c r="T27" s="28"/>
      <c r="U27" s="28"/>
      <c r="V27" s="28"/>
      <c r="W27" s="28"/>
      <c r="X27" s="28"/>
      <c r="Y27" s="19"/>
      <c r="Z27" s="29"/>
      <c r="AA27" s="29"/>
      <c r="AB27" s="29"/>
      <c r="AC27" s="29"/>
      <c r="AD27" s="29"/>
      <c r="AE27" s="19"/>
      <c r="AF27" s="16"/>
      <c r="AG27" s="16"/>
      <c r="AH27" s="24"/>
      <c r="AI27" s="25"/>
      <c r="AJ27" s="25"/>
      <c r="AK27" s="26"/>
      <c r="AL27" s="24"/>
      <c r="AM27" s="24"/>
    </row>
    <row r="28" ht="15.75" customHeight="1">
      <c r="A28" s="16">
        <v>8.0</v>
      </c>
      <c r="B28" s="18">
        <v>0.0</v>
      </c>
      <c r="C28" s="18">
        <v>0.0</v>
      </c>
      <c r="D28" s="18">
        <v>0.0</v>
      </c>
      <c r="E28" s="18">
        <v>0.0</v>
      </c>
      <c r="F28" s="18">
        <v>0.0</v>
      </c>
      <c r="G28" s="19"/>
      <c r="H28" s="27"/>
      <c r="I28" s="27"/>
      <c r="J28" s="27"/>
      <c r="K28" s="27"/>
      <c r="L28" s="27"/>
      <c r="M28" s="21"/>
      <c r="N28" s="27"/>
      <c r="O28" s="27"/>
      <c r="P28" s="27"/>
      <c r="Q28" s="27"/>
      <c r="R28" s="27"/>
      <c r="S28" s="21"/>
      <c r="T28" s="28"/>
      <c r="U28" s="28"/>
      <c r="V28" s="28"/>
      <c r="W28" s="28"/>
      <c r="X28" s="28"/>
      <c r="Y28" s="19"/>
      <c r="Z28" s="29"/>
      <c r="AA28" s="29"/>
      <c r="AB28" s="29"/>
      <c r="AC28" s="29"/>
      <c r="AD28" s="29"/>
      <c r="AE28" s="19"/>
      <c r="AF28" s="16"/>
      <c r="AG28" s="16"/>
      <c r="AH28" s="24"/>
      <c r="AI28" s="25"/>
      <c r="AJ28" s="25"/>
      <c r="AK28" s="26"/>
      <c r="AL28" s="24"/>
      <c r="AM28" s="24"/>
    </row>
    <row r="29" ht="15.75" customHeight="1">
      <c r="A29" s="16">
        <v>9.0</v>
      </c>
      <c r="B29" s="18">
        <v>0.0</v>
      </c>
      <c r="C29" s="18">
        <v>0.0</v>
      </c>
      <c r="D29" s="18">
        <v>0.0</v>
      </c>
      <c r="E29" s="18">
        <v>0.0</v>
      </c>
      <c r="F29" s="18">
        <v>0.0</v>
      </c>
      <c r="G29" s="19"/>
      <c r="H29" s="27"/>
      <c r="I29" s="27"/>
      <c r="J29" s="27"/>
      <c r="K29" s="27"/>
      <c r="L29" s="27"/>
      <c r="M29" s="21"/>
      <c r="N29" s="27"/>
      <c r="O29" s="27"/>
      <c r="P29" s="27"/>
      <c r="Q29" s="27"/>
      <c r="R29" s="27"/>
      <c r="S29" s="21"/>
      <c r="T29" s="28"/>
      <c r="U29" s="28"/>
      <c r="V29" s="28"/>
      <c r="W29" s="28"/>
      <c r="X29" s="28"/>
      <c r="Y29" s="19"/>
      <c r="Z29" s="29"/>
      <c r="AA29" s="29"/>
      <c r="AB29" s="29"/>
      <c r="AC29" s="29"/>
      <c r="AD29" s="29"/>
      <c r="AE29" s="19"/>
      <c r="AF29" s="16"/>
      <c r="AG29" s="16"/>
      <c r="AH29" s="24"/>
      <c r="AI29" s="25"/>
      <c r="AJ29" s="25"/>
      <c r="AK29" s="26"/>
      <c r="AL29" s="24"/>
      <c r="AM29" s="24"/>
    </row>
    <row r="30" ht="15.75" customHeight="1">
      <c r="B30" s="18">
        <v>0.0</v>
      </c>
      <c r="C30" s="18">
        <v>0.0</v>
      </c>
      <c r="D30" s="18">
        <v>0.0</v>
      </c>
      <c r="E30" s="18">
        <v>0.0</v>
      </c>
      <c r="F30" s="18">
        <v>0.0</v>
      </c>
      <c r="G30" s="19"/>
      <c r="H30" s="27"/>
      <c r="I30" s="27"/>
      <c r="J30" s="27"/>
      <c r="K30" s="27"/>
      <c r="L30" s="27"/>
      <c r="M30" s="21"/>
      <c r="N30" s="27"/>
      <c r="O30" s="27"/>
      <c r="P30" s="27"/>
      <c r="Q30" s="27"/>
      <c r="R30" s="27"/>
      <c r="S30" s="21"/>
      <c r="T30" s="28"/>
      <c r="U30" s="28"/>
      <c r="V30" s="28"/>
      <c r="W30" s="28"/>
      <c r="X30" s="28"/>
      <c r="Y30" s="19"/>
      <c r="Z30" s="18"/>
      <c r="AE30" s="19"/>
      <c r="AH30" s="24"/>
      <c r="AI30" s="30"/>
      <c r="AJ30" s="30"/>
      <c r="AK30" s="30"/>
      <c r="AL30" s="24"/>
      <c r="AM30" s="24"/>
    </row>
    <row r="31" ht="15.75" customHeight="1">
      <c r="B31" s="18">
        <v>0.0</v>
      </c>
      <c r="C31" s="18">
        <v>0.0</v>
      </c>
      <c r="D31" s="18">
        <v>0.0</v>
      </c>
      <c r="E31" s="18">
        <v>0.0</v>
      </c>
      <c r="F31" s="18">
        <v>0.0</v>
      </c>
      <c r="G31" s="19"/>
      <c r="H31" s="27"/>
      <c r="I31" s="27"/>
      <c r="J31" s="27"/>
      <c r="K31" s="27"/>
      <c r="L31" s="27"/>
      <c r="M31" s="21"/>
      <c r="N31" s="27"/>
      <c r="O31" s="27"/>
      <c r="P31" s="27"/>
      <c r="Q31" s="27"/>
      <c r="R31" s="27"/>
      <c r="S31" s="21"/>
      <c r="T31" s="28"/>
      <c r="U31" s="28"/>
      <c r="V31" s="28"/>
      <c r="W31" s="28"/>
      <c r="X31" s="28"/>
      <c r="Y31" s="19"/>
      <c r="Z31" s="18"/>
      <c r="AE31" s="19"/>
      <c r="AH31" s="24"/>
      <c r="AI31" s="30"/>
      <c r="AJ31" s="30"/>
      <c r="AK31" s="30"/>
      <c r="AL31" s="24"/>
      <c r="AM31" s="24"/>
    </row>
    <row r="32" ht="15.75" customHeight="1">
      <c r="B32" s="18">
        <v>0.0</v>
      </c>
      <c r="C32" s="18">
        <v>0.0</v>
      </c>
      <c r="D32" s="18">
        <v>0.0</v>
      </c>
      <c r="E32" s="18">
        <v>0.0</v>
      </c>
      <c r="F32" s="18">
        <v>0.0</v>
      </c>
      <c r="G32" s="19"/>
      <c r="H32" s="27"/>
      <c r="I32" s="27"/>
      <c r="J32" s="27"/>
      <c r="K32" s="27"/>
      <c r="L32" s="27"/>
      <c r="M32" s="21"/>
      <c r="N32" s="27"/>
      <c r="O32" s="27"/>
      <c r="P32" s="27"/>
      <c r="Q32" s="27"/>
      <c r="R32" s="27"/>
      <c r="S32" s="21"/>
      <c r="T32" s="28"/>
      <c r="U32" s="28"/>
      <c r="V32" s="28"/>
      <c r="W32" s="28"/>
      <c r="X32" s="28"/>
      <c r="Y32" s="19"/>
      <c r="Z32" s="18"/>
      <c r="AE32" s="19"/>
      <c r="AH32" s="24"/>
      <c r="AI32" s="30"/>
      <c r="AJ32" s="30"/>
      <c r="AK32" s="30"/>
      <c r="AL32" s="24"/>
      <c r="AM32" s="24"/>
    </row>
    <row r="33" ht="15.75" customHeight="1">
      <c r="B33" s="18">
        <v>0.0</v>
      </c>
      <c r="C33" s="18">
        <v>0.0</v>
      </c>
      <c r="D33" s="18">
        <v>0.0</v>
      </c>
      <c r="E33" s="18">
        <v>0.0</v>
      </c>
      <c r="F33" s="18">
        <v>0.0</v>
      </c>
      <c r="G33" s="19"/>
      <c r="H33" s="27"/>
      <c r="I33" s="27"/>
      <c r="J33" s="27"/>
      <c r="K33" s="27"/>
      <c r="L33" s="27"/>
      <c r="M33" s="21"/>
      <c r="N33" s="27"/>
      <c r="O33" s="27"/>
      <c r="P33" s="27"/>
      <c r="Q33" s="27"/>
      <c r="R33" s="27"/>
      <c r="S33" s="21"/>
      <c r="T33" s="28"/>
      <c r="U33" s="28"/>
      <c r="V33" s="28"/>
      <c r="W33" s="28"/>
      <c r="X33" s="28"/>
      <c r="Y33" s="19"/>
      <c r="Z33" s="18"/>
      <c r="AE33" s="19"/>
      <c r="AH33" s="24"/>
      <c r="AI33" s="30"/>
      <c r="AJ33" s="30"/>
      <c r="AK33" s="30"/>
      <c r="AL33" s="24"/>
      <c r="AM33" s="24"/>
    </row>
    <row r="34" ht="15.75" customHeight="1">
      <c r="B34" s="18"/>
      <c r="C34" s="18"/>
      <c r="D34" s="18"/>
      <c r="E34" s="18"/>
      <c r="F34" s="18"/>
      <c r="G34" s="19"/>
      <c r="H34" s="27"/>
      <c r="I34" s="27"/>
      <c r="J34" s="27"/>
      <c r="K34" s="27"/>
      <c r="L34" s="27"/>
      <c r="M34" s="21"/>
      <c r="N34" s="27"/>
      <c r="O34" s="27"/>
      <c r="P34" s="27"/>
      <c r="Q34" s="27"/>
      <c r="R34" s="27"/>
      <c r="S34" s="21"/>
      <c r="T34" s="28"/>
      <c r="U34" s="28"/>
      <c r="V34" s="28"/>
      <c r="W34" s="28"/>
      <c r="X34" s="28"/>
      <c r="Y34" s="19"/>
      <c r="Z34" s="18"/>
      <c r="AE34" s="19"/>
      <c r="AH34" s="24"/>
      <c r="AI34" s="30"/>
      <c r="AJ34" s="30"/>
      <c r="AK34" s="30"/>
      <c r="AL34" s="24"/>
      <c r="AM34" s="24"/>
    </row>
    <row r="35" ht="15.75" customHeight="1">
      <c r="B35" s="18"/>
      <c r="C35" s="18"/>
      <c r="D35" s="18"/>
      <c r="E35" s="18"/>
      <c r="F35" s="18"/>
      <c r="G35" s="19"/>
      <c r="H35" s="27"/>
      <c r="I35" s="27"/>
      <c r="J35" s="27"/>
      <c r="K35" s="27"/>
      <c r="L35" s="27"/>
      <c r="M35" s="21"/>
      <c r="N35" s="27"/>
      <c r="O35" s="27"/>
      <c r="P35" s="27"/>
      <c r="Q35" s="27"/>
      <c r="R35" s="27"/>
      <c r="S35" s="21"/>
      <c r="T35" s="28"/>
      <c r="U35" s="28"/>
      <c r="V35" s="28"/>
      <c r="W35" s="28"/>
      <c r="X35" s="28"/>
      <c r="Y35" s="19"/>
      <c r="Z35" s="18"/>
      <c r="AE35" s="19"/>
      <c r="AH35" s="24"/>
      <c r="AI35" s="30"/>
      <c r="AJ35" s="30"/>
      <c r="AK35" s="30"/>
      <c r="AL35" s="24"/>
      <c r="AM35" s="24"/>
    </row>
    <row r="36" ht="15.75" customHeight="1">
      <c r="B36" s="18"/>
      <c r="C36" s="18"/>
      <c r="D36" s="18"/>
      <c r="E36" s="18"/>
      <c r="F36" s="18"/>
      <c r="G36" s="19"/>
      <c r="H36" s="27"/>
      <c r="I36" s="27"/>
      <c r="J36" s="27"/>
      <c r="K36" s="27"/>
      <c r="L36" s="27"/>
      <c r="M36" s="21"/>
      <c r="N36" s="27"/>
      <c r="O36" s="27"/>
      <c r="P36" s="27"/>
      <c r="Q36" s="27"/>
      <c r="R36" s="27"/>
      <c r="S36" s="21"/>
      <c r="T36" s="28"/>
      <c r="U36" s="28"/>
      <c r="V36" s="28"/>
      <c r="W36" s="28"/>
      <c r="X36" s="28"/>
      <c r="Y36" s="19"/>
      <c r="Z36" s="18"/>
      <c r="AE36" s="19"/>
      <c r="AH36" s="24"/>
      <c r="AI36" s="30"/>
      <c r="AJ36" s="30"/>
      <c r="AK36" s="30"/>
      <c r="AL36" s="24"/>
      <c r="AM36" s="24"/>
    </row>
    <row r="37" ht="15.75" customHeight="1">
      <c r="B37" s="18"/>
      <c r="C37" s="18"/>
      <c r="D37" s="18"/>
      <c r="E37" s="18"/>
      <c r="F37" s="18"/>
      <c r="G37" s="19"/>
      <c r="H37" s="27"/>
      <c r="I37" s="27"/>
      <c r="J37" s="27"/>
      <c r="K37" s="27"/>
      <c r="L37" s="27"/>
      <c r="M37" s="21"/>
      <c r="N37" s="27"/>
      <c r="O37" s="27"/>
      <c r="P37" s="27"/>
      <c r="Q37" s="27"/>
      <c r="R37" s="27"/>
      <c r="S37" s="21"/>
      <c r="T37" s="28"/>
      <c r="U37" s="28"/>
      <c r="V37" s="28"/>
      <c r="W37" s="28"/>
      <c r="X37" s="28"/>
      <c r="Y37" s="19"/>
      <c r="Z37" s="18"/>
      <c r="AE37" s="19"/>
      <c r="AH37" s="24"/>
      <c r="AI37" s="30"/>
      <c r="AJ37" s="30"/>
      <c r="AK37" s="30"/>
      <c r="AL37" s="24"/>
      <c r="AM37" s="24"/>
    </row>
    <row r="38" ht="15.75" customHeight="1">
      <c r="B38" s="18"/>
      <c r="C38" s="18"/>
      <c r="D38" s="18"/>
      <c r="E38" s="18"/>
      <c r="F38" s="18"/>
      <c r="G38" s="19"/>
      <c r="H38" s="27"/>
      <c r="I38" s="27"/>
      <c r="J38" s="27"/>
      <c r="K38" s="27"/>
      <c r="L38" s="27"/>
      <c r="M38" s="21"/>
      <c r="N38" s="27"/>
      <c r="O38" s="27"/>
      <c r="P38" s="27"/>
      <c r="Q38" s="27"/>
      <c r="R38" s="27"/>
      <c r="S38" s="21"/>
      <c r="T38" s="28"/>
      <c r="U38" s="28"/>
      <c r="V38" s="28"/>
      <c r="W38" s="28"/>
      <c r="X38" s="28"/>
      <c r="Y38" s="19"/>
      <c r="Z38" s="18"/>
      <c r="AE38" s="19"/>
      <c r="AH38" s="24"/>
      <c r="AI38" s="30"/>
      <c r="AJ38" s="30"/>
      <c r="AK38" s="30"/>
      <c r="AL38" s="24"/>
      <c r="AM38" s="24"/>
    </row>
    <row r="39" ht="15.75" customHeight="1">
      <c r="B39" s="18"/>
      <c r="C39" s="18"/>
      <c r="D39" s="18"/>
      <c r="E39" s="18"/>
      <c r="F39" s="18"/>
      <c r="G39" s="19"/>
      <c r="H39" s="27"/>
      <c r="I39" s="27"/>
      <c r="J39" s="27"/>
      <c r="K39" s="27"/>
      <c r="L39" s="27"/>
      <c r="M39" s="21"/>
      <c r="N39" s="27"/>
      <c r="O39" s="27"/>
      <c r="P39" s="27"/>
      <c r="Q39" s="27"/>
      <c r="R39" s="27"/>
      <c r="S39" s="21"/>
      <c r="T39" s="28"/>
      <c r="U39" s="28"/>
      <c r="V39" s="28"/>
      <c r="W39" s="28"/>
      <c r="X39" s="28"/>
      <c r="Y39" s="19"/>
      <c r="Z39" s="18"/>
      <c r="AE39" s="19"/>
      <c r="AH39" s="24"/>
      <c r="AI39" s="30"/>
      <c r="AJ39" s="30"/>
      <c r="AK39" s="30"/>
      <c r="AL39" s="24"/>
      <c r="AM39" s="24"/>
    </row>
    <row r="40" ht="15.75" customHeight="1">
      <c r="B40" s="18"/>
      <c r="C40" s="18"/>
      <c r="D40" s="18"/>
      <c r="E40" s="18"/>
      <c r="F40" s="18"/>
      <c r="G40" s="19"/>
      <c r="H40" s="27"/>
      <c r="I40" s="27"/>
      <c r="J40" s="27"/>
      <c r="K40" s="27"/>
      <c r="L40" s="27"/>
      <c r="M40" s="21"/>
      <c r="N40" s="27"/>
      <c r="O40" s="27"/>
      <c r="P40" s="27"/>
      <c r="Q40" s="27"/>
      <c r="R40" s="27"/>
      <c r="S40" s="21"/>
      <c r="T40" s="28"/>
      <c r="U40" s="28"/>
      <c r="V40" s="28"/>
      <c r="W40" s="28"/>
      <c r="X40" s="28"/>
      <c r="Y40" s="19"/>
      <c r="Z40" s="18"/>
      <c r="AE40" s="19"/>
      <c r="AH40" s="24"/>
      <c r="AI40" s="30"/>
      <c r="AJ40" s="30"/>
      <c r="AK40" s="30"/>
      <c r="AL40" s="24"/>
      <c r="AM40" s="24"/>
    </row>
    <row r="41" ht="15.75" customHeight="1">
      <c r="B41" s="18"/>
      <c r="C41" s="18"/>
      <c r="D41" s="18"/>
      <c r="E41" s="18"/>
      <c r="F41" s="18"/>
      <c r="G41" s="19"/>
      <c r="H41" s="27"/>
      <c r="I41" s="27"/>
      <c r="J41" s="27"/>
      <c r="K41" s="27"/>
      <c r="L41" s="27"/>
      <c r="M41" s="21"/>
      <c r="N41" s="27"/>
      <c r="O41" s="27"/>
      <c r="P41" s="27"/>
      <c r="Q41" s="27"/>
      <c r="R41" s="27"/>
      <c r="S41" s="21"/>
      <c r="T41" s="28"/>
      <c r="U41" s="28"/>
      <c r="V41" s="28"/>
      <c r="W41" s="28"/>
      <c r="X41" s="28"/>
      <c r="Y41" s="19"/>
      <c r="Z41" s="18"/>
      <c r="AE41" s="19"/>
      <c r="AH41" s="24"/>
      <c r="AI41" s="30"/>
      <c r="AJ41" s="30"/>
      <c r="AK41" s="30"/>
      <c r="AL41" s="24"/>
      <c r="AM41" s="24"/>
    </row>
    <row r="42" ht="15.75" customHeight="1">
      <c r="B42" s="18"/>
      <c r="C42" s="18"/>
      <c r="D42" s="18"/>
      <c r="E42" s="18"/>
      <c r="F42" s="18"/>
      <c r="G42" s="19"/>
      <c r="H42" s="27"/>
      <c r="I42" s="27"/>
      <c r="J42" s="27"/>
      <c r="K42" s="27"/>
      <c r="L42" s="27"/>
      <c r="M42" s="21"/>
      <c r="N42" s="27"/>
      <c r="O42" s="27"/>
      <c r="P42" s="27"/>
      <c r="Q42" s="27"/>
      <c r="R42" s="27"/>
      <c r="S42" s="21"/>
      <c r="T42" s="28"/>
      <c r="U42" s="28"/>
      <c r="V42" s="28"/>
      <c r="W42" s="28"/>
      <c r="X42" s="28"/>
      <c r="Y42" s="19"/>
      <c r="Z42" s="18"/>
      <c r="AE42" s="19"/>
      <c r="AH42" s="24"/>
      <c r="AI42" s="30"/>
      <c r="AJ42" s="30"/>
      <c r="AK42" s="30"/>
      <c r="AL42" s="24"/>
      <c r="AM42" s="24"/>
    </row>
    <row r="43" ht="15.75" customHeight="1">
      <c r="B43" s="18"/>
      <c r="C43" s="18"/>
      <c r="D43" s="18"/>
      <c r="E43" s="18"/>
      <c r="F43" s="18"/>
      <c r="G43" s="19"/>
      <c r="H43" s="27"/>
      <c r="I43" s="27"/>
      <c r="J43" s="27"/>
      <c r="K43" s="27"/>
      <c r="L43" s="27"/>
      <c r="M43" s="21"/>
      <c r="N43" s="27"/>
      <c r="O43" s="27"/>
      <c r="P43" s="27"/>
      <c r="Q43" s="27"/>
      <c r="R43" s="27"/>
      <c r="S43" s="21"/>
      <c r="T43" s="28"/>
      <c r="U43" s="28"/>
      <c r="V43" s="28"/>
      <c r="W43" s="28"/>
      <c r="X43" s="28"/>
      <c r="Y43" s="19"/>
      <c r="Z43" s="18"/>
      <c r="AE43" s="19"/>
      <c r="AH43" s="24"/>
      <c r="AI43" s="30"/>
      <c r="AJ43" s="30"/>
      <c r="AK43" s="30"/>
      <c r="AL43" s="24"/>
      <c r="AM43" s="24"/>
    </row>
    <row r="44" ht="15.75" customHeight="1">
      <c r="B44" s="18"/>
      <c r="C44" s="18"/>
      <c r="D44" s="18"/>
      <c r="E44" s="18"/>
      <c r="F44" s="18"/>
      <c r="G44" s="19"/>
      <c r="H44" s="27"/>
      <c r="I44" s="27"/>
      <c r="J44" s="27"/>
      <c r="K44" s="27"/>
      <c r="L44" s="27"/>
      <c r="M44" s="21"/>
      <c r="N44" s="27"/>
      <c r="O44" s="27"/>
      <c r="P44" s="27"/>
      <c r="Q44" s="27"/>
      <c r="R44" s="27"/>
      <c r="S44" s="21"/>
      <c r="T44" s="28"/>
      <c r="U44" s="28"/>
      <c r="V44" s="28"/>
      <c r="W44" s="28"/>
      <c r="X44" s="28"/>
      <c r="Y44" s="19"/>
      <c r="Z44" s="18"/>
      <c r="AE44" s="19"/>
      <c r="AH44" s="24"/>
      <c r="AI44" s="30"/>
      <c r="AJ44" s="30"/>
      <c r="AK44" s="30"/>
      <c r="AL44" s="24"/>
      <c r="AM44" s="24"/>
    </row>
    <row r="45" ht="15.75" customHeight="1">
      <c r="B45" s="18"/>
      <c r="C45" s="18"/>
      <c r="D45" s="18"/>
      <c r="E45" s="18"/>
      <c r="F45" s="18"/>
      <c r="G45" s="19"/>
      <c r="H45" s="27"/>
      <c r="I45" s="27"/>
      <c r="J45" s="27"/>
      <c r="K45" s="27"/>
      <c r="L45" s="27"/>
      <c r="M45" s="21"/>
      <c r="N45" s="27"/>
      <c r="O45" s="27"/>
      <c r="P45" s="27"/>
      <c r="Q45" s="27"/>
      <c r="R45" s="27"/>
      <c r="S45" s="21"/>
      <c r="T45" s="28"/>
      <c r="U45" s="28"/>
      <c r="V45" s="28"/>
      <c r="W45" s="28"/>
      <c r="X45" s="28"/>
      <c r="Y45" s="19"/>
      <c r="Z45" s="18"/>
      <c r="AE45" s="19"/>
      <c r="AH45" s="24"/>
      <c r="AI45" s="30"/>
      <c r="AJ45" s="30"/>
      <c r="AK45" s="30"/>
      <c r="AL45" s="24"/>
      <c r="AM45" s="24"/>
    </row>
    <row r="46" ht="15.75" customHeight="1">
      <c r="B46" s="18"/>
      <c r="C46" s="18"/>
      <c r="D46" s="18"/>
      <c r="E46" s="18"/>
      <c r="F46" s="18"/>
      <c r="G46" s="19"/>
      <c r="H46" s="27"/>
      <c r="I46" s="27"/>
      <c r="J46" s="27"/>
      <c r="K46" s="27"/>
      <c r="L46" s="27"/>
      <c r="M46" s="21"/>
      <c r="N46" s="27"/>
      <c r="O46" s="27"/>
      <c r="P46" s="27"/>
      <c r="Q46" s="27"/>
      <c r="R46" s="27"/>
      <c r="S46" s="21"/>
      <c r="T46" s="28"/>
      <c r="U46" s="28"/>
      <c r="V46" s="28"/>
      <c r="W46" s="28"/>
      <c r="X46" s="28"/>
      <c r="Y46" s="19"/>
      <c r="Z46" s="18"/>
      <c r="AE46" s="19"/>
      <c r="AH46" s="24"/>
      <c r="AI46" s="30"/>
      <c r="AJ46" s="30"/>
      <c r="AK46" s="30"/>
      <c r="AL46" s="24"/>
      <c r="AM46" s="24"/>
    </row>
    <row r="47" ht="15.75" customHeight="1">
      <c r="B47" s="18"/>
      <c r="C47" s="18"/>
      <c r="D47" s="18"/>
      <c r="E47" s="18"/>
      <c r="F47" s="18"/>
      <c r="G47" s="19"/>
      <c r="H47" s="27"/>
      <c r="I47" s="27"/>
      <c r="J47" s="27"/>
      <c r="K47" s="27"/>
      <c r="L47" s="27"/>
      <c r="M47" s="21"/>
      <c r="N47" s="27"/>
      <c r="O47" s="27"/>
      <c r="P47" s="27"/>
      <c r="Q47" s="27"/>
      <c r="R47" s="27"/>
      <c r="S47" s="21"/>
      <c r="T47" s="28"/>
      <c r="U47" s="28"/>
      <c r="V47" s="28"/>
      <c r="W47" s="28"/>
      <c r="X47" s="28"/>
      <c r="Y47" s="19"/>
      <c r="Z47" s="18"/>
      <c r="AE47" s="19"/>
      <c r="AH47" s="24"/>
      <c r="AI47" s="30"/>
      <c r="AJ47" s="30"/>
      <c r="AK47" s="30"/>
      <c r="AL47" s="24"/>
      <c r="AM47" s="24"/>
    </row>
    <row r="48" ht="15.75" customHeight="1">
      <c r="B48" s="18"/>
      <c r="C48" s="18"/>
      <c r="D48" s="18"/>
      <c r="E48" s="18"/>
      <c r="F48" s="18"/>
      <c r="G48" s="19"/>
      <c r="H48" s="27"/>
      <c r="I48" s="27"/>
      <c r="J48" s="27"/>
      <c r="K48" s="27"/>
      <c r="L48" s="27"/>
      <c r="M48" s="21"/>
      <c r="N48" s="27"/>
      <c r="O48" s="27"/>
      <c r="P48" s="27"/>
      <c r="Q48" s="27"/>
      <c r="R48" s="27"/>
      <c r="S48" s="21"/>
      <c r="T48" s="28"/>
      <c r="U48" s="28"/>
      <c r="V48" s="28"/>
      <c r="W48" s="28"/>
      <c r="X48" s="28"/>
      <c r="Y48" s="19"/>
      <c r="Z48" s="18"/>
      <c r="AE48" s="19"/>
      <c r="AH48" s="24"/>
      <c r="AI48" s="30"/>
      <c r="AJ48" s="30"/>
      <c r="AK48" s="30"/>
      <c r="AL48" s="24"/>
      <c r="AM48" s="24"/>
    </row>
    <row r="49" ht="15.75" customHeight="1">
      <c r="B49" s="18"/>
      <c r="C49" s="18"/>
      <c r="D49" s="18"/>
      <c r="E49" s="18"/>
      <c r="F49" s="18"/>
      <c r="G49" s="19"/>
      <c r="H49" s="27"/>
      <c r="I49" s="27"/>
      <c r="J49" s="27"/>
      <c r="K49" s="27"/>
      <c r="L49" s="27"/>
      <c r="M49" s="21"/>
      <c r="N49" s="27"/>
      <c r="O49" s="27"/>
      <c r="P49" s="27"/>
      <c r="Q49" s="27"/>
      <c r="R49" s="27"/>
      <c r="S49" s="21"/>
      <c r="T49" s="28"/>
      <c r="U49" s="28"/>
      <c r="V49" s="28"/>
      <c r="W49" s="28"/>
      <c r="X49" s="28"/>
      <c r="Y49" s="19"/>
      <c r="Z49" s="18"/>
      <c r="AE49" s="19"/>
      <c r="AH49" s="24"/>
      <c r="AI49" s="30"/>
      <c r="AJ49" s="30"/>
      <c r="AK49" s="30"/>
      <c r="AL49" s="24"/>
      <c r="AM49" s="24"/>
    </row>
    <row r="50" ht="15.75" customHeight="1">
      <c r="B50" s="18"/>
      <c r="C50" s="18"/>
      <c r="D50" s="18"/>
      <c r="E50" s="18"/>
      <c r="F50" s="18"/>
      <c r="G50" s="19"/>
      <c r="H50" s="27"/>
      <c r="I50" s="27"/>
      <c r="J50" s="27"/>
      <c r="K50" s="27"/>
      <c r="L50" s="27"/>
      <c r="M50" s="21"/>
      <c r="N50" s="27"/>
      <c r="O50" s="27"/>
      <c r="P50" s="27"/>
      <c r="Q50" s="27"/>
      <c r="R50" s="27"/>
      <c r="S50" s="21"/>
      <c r="T50" s="28"/>
      <c r="U50" s="28"/>
      <c r="V50" s="28"/>
      <c r="W50" s="28"/>
      <c r="X50" s="28"/>
      <c r="Y50" s="19"/>
      <c r="Z50" s="18"/>
      <c r="AE50" s="19"/>
      <c r="AH50" s="24"/>
      <c r="AI50" s="30"/>
      <c r="AJ50" s="30"/>
      <c r="AK50" s="30"/>
      <c r="AL50" s="24"/>
      <c r="AM50" s="24"/>
    </row>
    <row r="51" ht="15.75" customHeight="1">
      <c r="B51" s="18"/>
      <c r="C51" s="18"/>
      <c r="D51" s="18"/>
      <c r="E51" s="18"/>
      <c r="F51" s="18"/>
      <c r="G51" s="19"/>
      <c r="H51" s="27"/>
      <c r="I51" s="27"/>
      <c r="J51" s="27"/>
      <c r="K51" s="27"/>
      <c r="L51" s="27"/>
      <c r="M51" s="21"/>
      <c r="N51" s="27"/>
      <c r="O51" s="27"/>
      <c r="P51" s="27"/>
      <c r="Q51" s="27"/>
      <c r="R51" s="27"/>
      <c r="S51" s="21"/>
      <c r="T51" s="28"/>
      <c r="U51" s="28"/>
      <c r="V51" s="28"/>
      <c r="W51" s="28"/>
      <c r="X51" s="28"/>
      <c r="Y51" s="19"/>
      <c r="Z51" s="18"/>
      <c r="AE51" s="19"/>
      <c r="AH51" s="24"/>
      <c r="AI51" s="30"/>
      <c r="AJ51" s="30"/>
      <c r="AK51" s="30"/>
      <c r="AL51" s="24"/>
      <c r="AM51" s="24"/>
    </row>
    <row r="52" ht="15.75" customHeight="1">
      <c r="B52" s="18"/>
      <c r="C52" s="18"/>
      <c r="D52" s="18"/>
      <c r="E52" s="18"/>
      <c r="F52" s="18"/>
      <c r="G52" s="19"/>
      <c r="H52" s="27"/>
      <c r="I52" s="27"/>
      <c r="J52" s="27"/>
      <c r="K52" s="27"/>
      <c r="L52" s="27"/>
      <c r="M52" s="21"/>
      <c r="N52" s="27"/>
      <c r="O52" s="27"/>
      <c r="P52" s="27"/>
      <c r="Q52" s="27"/>
      <c r="R52" s="27"/>
      <c r="S52" s="21"/>
      <c r="T52" s="28"/>
      <c r="U52" s="28"/>
      <c r="V52" s="28"/>
      <c r="W52" s="28"/>
      <c r="X52" s="28"/>
      <c r="Y52" s="19"/>
      <c r="Z52" s="18"/>
      <c r="AE52" s="19"/>
      <c r="AH52" s="24"/>
      <c r="AI52" s="30"/>
      <c r="AJ52" s="30"/>
      <c r="AK52" s="30"/>
      <c r="AL52" s="24"/>
      <c r="AM52" s="24"/>
    </row>
    <row r="53" ht="15.75" customHeight="1">
      <c r="B53" s="18"/>
      <c r="C53" s="18"/>
      <c r="D53" s="18"/>
      <c r="E53" s="18"/>
      <c r="F53" s="18"/>
      <c r="G53" s="19"/>
      <c r="H53" s="27"/>
      <c r="I53" s="27"/>
      <c r="J53" s="27"/>
      <c r="K53" s="27"/>
      <c r="L53" s="27"/>
      <c r="M53" s="21"/>
      <c r="N53" s="27"/>
      <c r="O53" s="27"/>
      <c r="P53" s="27"/>
      <c r="Q53" s="27"/>
      <c r="R53" s="27"/>
      <c r="S53" s="21"/>
      <c r="T53" s="28"/>
      <c r="U53" s="28"/>
      <c r="V53" s="28"/>
      <c r="W53" s="28"/>
      <c r="X53" s="28"/>
      <c r="Y53" s="19"/>
      <c r="Z53" s="18"/>
      <c r="AE53" s="19"/>
      <c r="AH53" s="24"/>
      <c r="AI53" s="30"/>
      <c r="AJ53" s="30"/>
      <c r="AK53" s="30"/>
      <c r="AL53" s="24"/>
      <c r="AM53" s="24"/>
    </row>
    <row r="54" ht="15.75" customHeight="1">
      <c r="B54" s="18"/>
      <c r="C54" s="18"/>
      <c r="D54" s="18"/>
      <c r="E54" s="18"/>
      <c r="F54" s="18"/>
      <c r="G54" s="19"/>
      <c r="H54" s="27"/>
      <c r="I54" s="27"/>
      <c r="J54" s="27"/>
      <c r="K54" s="27"/>
      <c r="L54" s="27"/>
      <c r="M54" s="21"/>
      <c r="N54" s="27"/>
      <c r="O54" s="27"/>
      <c r="P54" s="27"/>
      <c r="Q54" s="27"/>
      <c r="R54" s="27"/>
      <c r="S54" s="21"/>
      <c r="T54" s="28"/>
      <c r="U54" s="28"/>
      <c r="V54" s="28"/>
      <c r="W54" s="28"/>
      <c r="X54" s="28"/>
      <c r="Y54" s="19"/>
      <c r="Z54" s="18"/>
      <c r="AE54" s="19"/>
      <c r="AH54" s="24"/>
      <c r="AI54" s="30"/>
      <c r="AJ54" s="30"/>
      <c r="AK54" s="30"/>
      <c r="AL54" s="24"/>
      <c r="AM54" s="24"/>
    </row>
    <row r="55" ht="15.75" customHeight="1">
      <c r="B55" s="18"/>
      <c r="C55" s="18"/>
      <c r="D55" s="18"/>
      <c r="E55" s="18"/>
      <c r="F55" s="18"/>
      <c r="G55" s="19"/>
      <c r="H55" s="27"/>
      <c r="I55" s="27"/>
      <c r="J55" s="27"/>
      <c r="K55" s="27"/>
      <c r="L55" s="27"/>
      <c r="M55" s="21"/>
      <c r="N55" s="27"/>
      <c r="O55" s="27"/>
      <c r="P55" s="27"/>
      <c r="Q55" s="27"/>
      <c r="R55" s="27"/>
      <c r="S55" s="21"/>
      <c r="T55" s="28"/>
      <c r="U55" s="28"/>
      <c r="V55" s="28"/>
      <c r="W55" s="28"/>
      <c r="X55" s="28"/>
      <c r="Y55" s="19"/>
      <c r="Z55" s="18"/>
      <c r="AE55" s="19"/>
      <c r="AH55" s="24"/>
      <c r="AI55" s="30"/>
      <c r="AJ55" s="30"/>
      <c r="AK55" s="30"/>
      <c r="AL55" s="24"/>
      <c r="AM55" s="24"/>
    </row>
    <row r="56" ht="15.75" customHeight="1">
      <c r="B56" s="18"/>
      <c r="C56" s="18"/>
      <c r="D56" s="18"/>
      <c r="E56" s="18"/>
      <c r="F56" s="18"/>
      <c r="G56" s="19"/>
      <c r="H56" s="27"/>
      <c r="I56" s="27"/>
      <c r="J56" s="27"/>
      <c r="K56" s="27"/>
      <c r="L56" s="27"/>
      <c r="M56" s="21"/>
      <c r="N56" s="27"/>
      <c r="O56" s="27"/>
      <c r="P56" s="27"/>
      <c r="Q56" s="27"/>
      <c r="R56" s="27"/>
      <c r="S56" s="21"/>
      <c r="T56" s="28"/>
      <c r="U56" s="28"/>
      <c r="V56" s="28"/>
      <c r="W56" s="28"/>
      <c r="X56" s="28"/>
      <c r="Y56" s="19"/>
      <c r="Z56" s="18"/>
      <c r="AE56" s="19"/>
      <c r="AH56" s="24"/>
      <c r="AI56" s="30"/>
      <c r="AJ56" s="30"/>
      <c r="AK56" s="30"/>
      <c r="AL56" s="24"/>
      <c r="AM56" s="24"/>
    </row>
    <row r="57" ht="15.75" customHeight="1">
      <c r="B57" s="18"/>
      <c r="C57" s="18"/>
      <c r="D57" s="18"/>
      <c r="E57" s="18"/>
      <c r="F57" s="18"/>
      <c r="G57" s="19"/>
      <c r="H57" s="27"/>
      <c r="I57" s="27"/>
      <c r="J57" s="27"/>
      <c r="K57" s="27"/>
      <c r="L57" s="27"/>
      <c r="M57" s="21"/>
      <c r="N57" s="27"/>
      <c r="O57" s="27"/>
      <c r="P57" s="27"/>
      <c r="Q57" s="27"/>
      <c r="R57" s="27"/>
      <c r="S57" s="21"/>
      <c r="T57" s="28"/>
      <c r="U57" s="28"/>
      <c r="V57" s="28"/>
      <c r="W57" s="28"/>
      <c r="X57" s="28"/>
      <c r="Y57" s="19"/>
      <c r="Z57" s="18"/>
      <c r="AE57" s="19"/>
      <c r="AH57" s="24"/>
      <c r="AI57" s="30"/>
      <c r="AJ57" s="30"/>
      <c r="AK57" s="30"/>
      <c r="AL57" s="24"/>
      <c r="AM57" s="24"/>
    </row>
    <row r="58" ht="15.75" customHeight="1">
      <c r="B58" s="18"/>
      <c r="C58" s="18"/>
      <c r="D58" s="18"/>
      <c r="E58" s="18"/>
      <c r="F58" s="18"/>
      <c r="G58" s="19"/>
      <c r="H58" s="27"/>
      <c r="I58" s="27"/>
      <c r="J58" s="27"/>
      <c r="K58" s="27"/>
      <c r="L58" s="27"/>
      <c r="M58" s="21"/>
      <c r="N58" s="27"/>
      <c r="O58" s="27"/>
      <c r="P58" s="27"/>
      <c r="Q58" s="27"/>
      <c r="R58" s="27"/>
      <c r="S58" s="21"/>
      <c r="T58" s="28"/>
      <c r="U58" s="28"/>
      <c r="V58" s="28"/>
      <c r="W58" s="28"/>
      <c r="X58" s="28"/>
      <c r="Y58" s="19"/>
      <c r="Z58" s="18"/>
      <c r="AE58" s="19"/>
      <c r="AH58" s="24"/>
      <c r="AI58" s="30"/>
      <c r="AJ58" s="30"/>
      <c r="AK58" s="30"/>
      <c r="AL58" s="24"/>
      <c r="AM58" s="24"/>
    </row>
    <row r="59" ht="15.75" customHeight="1">
      <c r="B59" s="18"/>
      <c r="C59" s="18"/>
      <c r="D59" s="18"/>
      <c r="E59" s="18"/>
      <c r="F59" s="18"/>
      <c r="G59" s="19"/>
      <c r="H59" s="27"/>
      <c r="I59" s="27"/>
      <c r="J59" s="27"/>
      <c r="K59" s="27"/>
      <c r="L59" s="27"/>
      <c r="M59" s="21"/>
      <c r="N59" s="27"/>
      <c r="O59" s="27"/>
      <c r="P59" s="27"/>
      <c r="Q59" s="27"/>
      <c r="R59" s="27"/>
      <c r="S59" s="21"/>
      <c r="T59" s="28"/>
      <c r="U59" s="28"/>
      <c r="V59" s="28"/>
      <c r="W59" s="28"/>
      <c r="X59" s="28"/>
      <c r="Y59" s="19"/>
      <c r="Z59" s="18"/>
      <c r="AE59" s="19"/>
      <c r="AH59" s="24"/>
      <c r="AI59" s="30"/>
      <c r="AJ59" s="30"/>
      <c r="AK59" s="30"/>
      <c r="AL59" s="24"/>
      <c r="AM59" s="24"/>
    </row>
    <row r="60" ht="15.75" customHeight="1">
      <c r="B60" s="18"/>
      <c r="C60" s="18"/>
      <c r="D60" s="18"/>
      <c r="E60" s="18"/>
      <c r="F60" s="18"/>
      <c r="G60" s="19"/>
      <c r="H60" s="27"/>
      <c r="I60" s="27"/>
      <c r="J60" s="27"/>
      <c r="K60" s="27"/>
      <c r="L60" s="27"/>
      <c r="M60" s="21"/>
      <c r="N60" s="27"/>
      <c r="O60" s="27"/>
      <c r="P60" s="27"/>
      <c r="Q60" s="27"/>
      <c r="R60" s="27"/>
      <c r="S60" s="21"/>
      <c r="T60" s="28"/>
      <c r="U60" s="28"/>
      <c r="V60" s="28"/>
      <c r="W60" s="28"/>
      <c r="X60" s="28"/>
      <c r="Y60" s="19"/>
      <c r="Z60" s="18"/>
      <c r="AE60" s="19"/>
      <c r="AH60" s="24"/>
      <c r="AI60" s="30"/>
      <c r="AJ60" s="30"/>
      <c r="AK60" s="30"/>
      <c r="AL60" s="24"/>
      <c r="AM60" s="24"/>
    </row>
    <row r="61" ht="15.75" customHeight="1">
      <c r="B61" s="18"/>
      <c r="C61" s="18"/>
      <c r="D61" s="18"/>
      <c r="E61" s="18"/>
      <c r="F61" s="18"/>
      <c r="G61" s="19"/>
      <c r="H61" s="27"/>
      <c r="I61" s="27"/>
      <c r="J61" s="27"/>
      <c r="K61" s="27"/>
      <c r="L61" s="27"/>
      <c r="M61" s="21"/>
      <c r="N61" s="27"/>
      <c r="O61" s="27"/>
      <c r="P61" s="27"/>
      <c r="Q61" s="27"/>
      <c r="R61" s="27"/>
      <c r="S61" s="21"/>
      <c r="T61" s="28"/>
      <c r="U61" s="28"/>
      <c r="V61" s="28"/>
      <c r="W61" s="28"/>
      <c r="X61" s="28"/>
      <c r="Y61" s="19"/>
      <c r="Z61" s="18"/>
      <c r="AE61" s="19"/>
      <c r="AH61" s="24"/>
      <c r="AI61" s="30"/>
      <c r="AJ61" s="30"/>
      <c r="AK61" s="30"/>
      <c r="AL61" s="24"/>
      <c r="AM61" s="24"/>
    </row>
    <row r="62" ht="15.75" customHeight="1">
      <c r="B62" s="18"/>
      <c r="C62" s="18"/>
      <c r="D62" s="18"/>
      <c r="E62" s="18"/>
      <c r="F62" s="18"/>
      <c r="G62" s="19"/>
      <c r="H62" s="27"/>
      <c r="I62" s="27"/>
      <c r="J62" s="27"/>
      <c r="K62" s="27"/>
      <c r="L62" s="27"/>
      <c r="M62" s="21"/>
      <c r="N62" s="27"/>
      <c r="O62" s="27"/>
      <c r="P62" s="27"/>
      <c r="Q62" s="27"/>
      <c r="R62" s="27"/>
      <c r="S62" s="21"/>
      <c r="T62" s="28"/>
      <c r="U62" s="28"/>
      <c r="V62" s="28"/>
      <c r="W62" s="28"/>
      <c r="X62" s="28"/>
      <c r="Y62" s="19"/>
      <c r="Z62" s="18"/>
      <c r="AE62" s="19"/>
      <c r="AH62" s="24"/>
      <c r="AI62" s="30"/>
      <c r="AJ62" s="30"/>
      <c r="AK62" s="30"/>
      <c r="AL62" s="24"/>
      <c r="AM62" s="24"/>
    </row>
    <row r="63" ht="15.75" customHeight="1">
      <c r="B63" s="18"/>
      <c r="C63" s="18"/>
      <c r="D63" s="18"/>
      <c r="E63" s="18"/>
      <c r="F63" s="18"/>
      <c r="G63" s="19"/>
      <c r="H63" s="27"/>
      <c r="I63" s="27"/>
      <c r="J63" s="27"/>
      <c r="K63" s="27"/>
      <c r="L63" s="27"/>
      <c r="M63" s="21"/>
      <c r="N63" s="27"/>
      <c r="O63" s="27"/>
      <c r="P63" s="27"/>
      <c r="Q63" s="27"/>
      <c r="R63" s="27"/>
      <c r="S63" s="21"/>
      <c r="T63" s="28"/>
      <c r="U63" s="28"/>
      <c r="V63" s="28"/>
      <c r="W63" s="28"/>
      <c r="X63" s="28"/>
      <c r="Y63" s="19"/>
      <c r="Z63" s="18"/>
      <c r="AE63" s="19"/>
      <c r="AH63" s="24"/>
      <c r="AI63" s="30"/>
      <c r="AJ63" s="30"/>
      <c r="AK63" s="30"/>
      <c r="AL63" s="24"/>
      <c r="AM63" s="24"/>
    </row>
    <row r="64" ht="15.75" customHeight="1">
      <c r="B64" s="18"/>
      <c r="C64" s="18"/>
      <c r="D64" s="18"/>
      <c r="E64" s="18"/>
      <c r="F64" s="18"/>
      <c r="G64" s="19"/>
      <c r="H64" s="27"/>
      <c r="I64" s="27"/>
      <c r="J64" s="27"/>
      <c r="K64" s="27"/>
      <c r="L64" s="27"/>
      <c r="M64" s="21"/>
      <c r="N64" s="27"/>
      <c r="O64" s="27"/>
      <c r="P64" s="27"/>
      <c r="Q64" s="27"/>
      <c r="R64" s="27"/>
      <c r="S64" s="21"/>
      <c r="T64" s="28"/>
      <c r="U64" s="28"/>
      <c r="V64" s="28"/>
      <c r="W64" s="28"/>
      <c r="X64" s="28"/>
      <c r="Y64" s="19"/>
      <c r="Z64" s="18"/>
      <c r="AE64" s="19"/>
      <c r="AH64" s="24"/>
      <c r="AI64" s="30"/>
      <c r="AJ64" s="30"/>
      <c r="AK64" s="30"/>
      <c r="AL64" s="24"/>
      <c r="AM64" s="24"/>
    </row>
    <row r="65" ht="15.75" customHeight="1">
      <c r="B65" s="18"/>
      <c r="C65" s="18"/>
      <c r="D65" s="18"/>
      <c r="E65" s="18"/>
      <c r="F65" s="18"/>
      <c r="G65" s="19"/>
      <c r="H65" s="27"/>
      <c r="I65" s="27"/>
      <c r="J65" s="27"/>
      <c r="K65" s="27"/>
      <c r="L65" s="27"/>
      <c r="M65" s="21"/>
      <c r="N65" s="27"/>
      <c r="O65" s="27"/>
      <c r="P65" s="27"/>
      <c r="Q65" s="27"/>
      <c r="R65" s="27"/>
      <c r="S65" s="21"/>
      <c r="T65" s="28"/>
      <c r="U65" s="28"/>
      <c r="V65" s="28"/>
      <c r="W65" s="28"/>
      <c r="X65" s="28"/>
      <c r="Y65" s="19"/>
      <c r="Z65" s="18"/>
      <c r="AE65" s="19"/>
      <c r="AH65" s="24"/>
      <c r="AI65" s="30"/>
      <c r="AJ65" s="30"/>
      <c r="AK65" s="30"/>
      <c r="AL65" s="24"/>
      <c r="AM65" s="24"/>
    </row>
    <row r="66" ht="15.75" customHeight="1">
      <c r="B66" s="18"/>
      <c r="C66" s="18"/>
      <c r="D66" s="18"/>
      <c r="E66" s="18"/>
      <c r="F66" s="18"/>
      <c r="G66" s="19"/>
      <c r="H66" s="27"/>
      <c r="I66" s="27"/>
      <c r="J66" s="27"/>
      <c r="K66" s="27"/>
      <c r="L66" s="27"/>
      <c r="M66" s="21"/>
      <c r="N66" s="27"/>
      <c r="O66" s="27"/>
      <c r="P66" s="27"/>
      <c r="Q66" s="27"/>
      <c r="R66" s="27"/>
      <c r="S66" s="21"/>
      <c r="T66" s="28"/>
      <c r="U66" s="28"/>
      <c r="V66" s="28"/>
      <c r="W66" s="28"/>
      <c r="X66" s="28"/>
      <c r="Y66" s="19"/>
      <c r="Z66" s="18"/>
      <c r="AE66" s="19"/>
      <c r="AH66" s="24"/>
      <c r="AI66" s="30"/>
      <c r="AJ66" s="30"/>
      <c r="AK66" s="30"/>
      <c r="AL66" s="24"/>
      <c r="AM66" s="24"/>
    </row>
    <row r="67" ht="15.75" customHeight="1">
      <c r="B67" s="18"/>
      <c r="C67" s="18"/>
      <c r="D67" s="18"/>
      <c r="E67" s="18"/>
      <c r="F67" s="18"/>
      <c r="G67" s="19"/>
      <c r="H67" s="27"/>
      <c r="I67" s="27"/>
      <c r="J67" s="27"/>
      <c r="K67" s="27"/>
      <c r="L67" s="27"/>
      <c r="M67" s="21"/>
      <c r="N67" s="27"/>
      <c r="O67" s="27"/>
      <c r="P67" s="27"/>
      <c r="Q67" s="27"/>
      <c r="R67" s="27"/>
      <c r="S67" s="21"/>
      <c r="T67" s="28"/>
      <c r="U67" s="28"/>
      <c r="V67" s="28"/>
      <c r="W67" s="28"/>
      <c r="X67" s="28"/>
      <c r="Y67" s="19"/>
      <c r="Z67" s="18"/>
      <c r="AE67" s="19"/>
      <c r="AH67" s="24"/>
      <c r="AI67" s="30"/>
      <c r="AJ67" s="30"/>
      <c r="AK67" s="30"/>
      <c r="AL67" s="24"/>
      <c r="AM67" s="24"/>
    </row>
    <row r="68" ht="15.75" customHeight="1">
      <c r="B68" s="18"/>
      <c r="C68" s="18"/>
      <c r="D68" s="18"/>
      <c r="E68" s="18"/>
      <c r="F68" s="18"/>
      <c r="G68" s="19"/>
      <c r="H68" s="27"/>
      <c r="I68" s="27"/>
      <c r="J68" s="27"/>
      <c r="K68" s="27"/>
      <c r="L68" s="27"/>
      <c r="M68" s="21"/>
      <c r="N68" s="27"/>
      <c r="O68" s="27"/>
      <c r="P68" s="27"/>
      <c r="Q68" s="27"/>
      <c r="R68" s="27"/>
      <c r="S68" s="21"/>
      <c r="T68" s="28"/>
      <c r="U68" s="28"/>
      <c r="V68" s="28"/>
      <c r="W68" s="28"/>
      <c r="X68" s="28"/>
      <c r="Y68" s="19"/>
      <c r="Z68" s="18"/>
      <c r="AE68" s="19"/>
      <c r="AH68" s="24"/>
      <c r="AI68" s="30"/>
      <c r="AJ68" s="30"/>
      <c r="AK68" s="30"/>
      <c r="AL68" s="24"/>
      <c r="AM68" s="24"/>
    </row>
    <row r="69" ht="15.75" customHeight="1">
      <c r="B69" s="18"/>
      <c r="C69" s="18"/>
      <c r="D69" s="18"/>
      <c r="E69" s="18"/>
      <c r="F69" s="18"/>
      <c r="G69" s="19"/>
      <c r="H69" s="27"/>
      <c r="I69" s="27"/>
      <c r="J69" s="27"/>
      <c r="K69" s="27"/>
      <c r="L69" s="27"/>
      <c r="M69" s="21"/>
      <c r="N69" s="27"/>
      <c r="O69" s="27"/>
      <c r="P69" s="27"/>
      <c r="Q69" s="27"/>
      <c r="R69" s="27"/>
      <c r="S69" s="21"/>
      <c r="T69" s="28"/>
      <c r="U69" s="28"/>
      <c r="V69" s="28"/>
      <c r="W69" s="28"/>
      <c r="X69" s="28"/>
      <c r="Y69" s="19"/>
      <c r="Z69" s="18"/>
      <c r="AE69" s="19"/>
      <c r="AH69" s="24"/>
      <c r="AI69" s="30"/>
      <c r="AJ69" s="30"/>
      <c r="AK69" s="30"/>
      <c r="AL69" s="24"/>
      <c r="AM69" s="24"/>
    </row>
    <row r="70" ht="15.75" customHeight="1">
      <c r="B70" s="18"/>
      <c r="C70" s="18"/>
      <c r="D70" s="18"/>
      <c r="E70" s="18"/>
      <c r="F70" s="18"/>
      <c r="G70" s="19"/>
      <c r="H70" s="27"/>
      <c r="I70" s="27"/>
      <c r="J70" s="27"/>
      <c r="K70" s="27"/>
      <c r="L70" s="27"/>
      <c r="M70" s="21"/>
      <c r="N70" s="27"/>
      <c r="O70" s="27"/>
      <c r="P70" s="27"/>
      <c r="Q70" s="27"/>
      <c r="R70" s="27"/>
      <c r="S70" s="21"/>
      <c r="T70" s="28"/>
      <c r="U70" s="28"/>
      <c r="V70" s="28"/>
      <c r="W70" s="28"/>
      <c r="X70" s="28"/>
      <c r="Y70" s="19"/>
      <c r="Z70" s="18"/>
      <c r="AE70" s="19"/>
      <c r="AH70" s="24"/>
      <c r="AI70" s="30"/>
      <c r="AJ70" s="30"/>
      <c r="AK70" s="30"/>
      <c r="AL70" s="24"/>
      <c r="AM70" s="24"/>
    </row>
    <row r="71" ht="15.75" customHeight="1">
      <c r="B71" s="18"/>
      <c r="C71" s="18"/>
      <c r="D71" s="18"/>
      <c r="E71" s="18"/>
      <c r="F71" s="18"/>
      <c r="G71" s="19"/>
      <c r="H71" s="27"/>
      <c r="I71" s="27"/>
      <c r="J71" s="27"/>
      <c r="K71" s="27"/>
      <c r="L71" s="27"/>
      <c r="M71" s="21"/>
      <c r="N71" s="27"/>
      <c r="O71" s="27"/>
      <c r="P71" s="27"/>
      <c r="Q71" s="27"/>
      <c r="R71" s="27"/>
      <c r="S71" s="21"/>
      <c r="T71" s="28"/>
      <c r="U71" s="28"/>
      <c r="V71" s="28"/>
      <c r="W71" s="28"/>
      <c r="X71" s="28"/>
      <c r="Y71" s="19"/>
      <c r="Z71" s="18"/>
      <c r="AE71" s="19"/>
      <c r="AH71" s="24"/>
      <c r="AI71" s="30"/>
      <c r="AJ71" s="30"/>
      <c r="AK71" s="30"/>
      <c r="AL71" s="24"/>
      <c r="AM71" s="24"/>
    </row>
    <row r="72" ht="15.75" customHeight="1">
      <c r="B72" s="18"/>
      <c r="C72" s="18"/>
      <c r="D72" s="18"/>
      <c r="E72" s="18"/>
      <c r="F72" s="18"/>
      <c r="G72" s="19"/>
      <c r="H72" s="27"/>
      <c r="I72" s="27"/>
      <c r="J72" s="27"/>
      <c r="K72" s="27"/>
      <c r="L72" s="27"/>
      <c r="M72" s="21"/>
      <c r="N72" s="27"/>
      <c r="O72" s="27"/>
      <c r="P72" s="27"/>
      <c r="Q72" s="27"/>
      <c r="R72" s="27"/>
      <c r="S72" s="21"/>
      <c r="T72" s="28"/>
      <c r="U72" s="28"/>
      <c r="V72" s="28"/>
      <c r="W72" s="28"/>
      <c r="X72" s="28"/>
      <c r="Y72" s="19"/>
      <c r="Z72" s="18"/>
      <c r="AE72" s="19"/>
      <c r="AH72" s="24"/>
      <c r="AI72" s="30"/>
      <c r="AJ72" s="30"/>
      <c r="AK72" s="30"/>
      <c r="AL72" s="24"/>
      <c r="AM72" s="24"/>
    </row>
    <row r="73" ht="15.75" customHeight="1">
      <c r="B73" s="18"/>
      <c r="C73" s="18"/>
      <c r="D73" s="18"/>
      <c r="E73" s="18"/>
      <c r="F73" s="18"/>
      <c r="G73" s="19"/>
      <c r="H73" s="27"/>
      <c r="I73" s="27"/>
      <c r="J73" s="27"/>
      <c r="K73" s="27"/>
      <c r="L73" s="27"/>
      <c r="M73" s="21"/>
      <c r="N73" s="27"/>
      <c r="O73" s="27"/>
      <c r="P73" s="27"/>
      <c r="Q73" s="27"/>
      <c r="R73" s="27"/>
      <c r="S73" s="21"/>
      <c r="T73" s="28"/>
      <c r="U73" s="28"/>
      <c r="V73" s="28"/>
      <c r="W73" s="28"/>
      <c r="X73" s="28"/>
      <c r="Y73" s="19"/>
      <c r="Z73" s="18"/>
      <c r="AE73" s="19"/>
      <c r="AH73" s="24"/>
      <c r="AI73" s="30"/>
      <c r="AJ73" s="30"/>
      <c r="AK73" s="30"/>
      <c r="AL73" s="24"/>
      <c r="AM73" s="24"/>
    </row>
    <row r="74" ht="15.75" customHeight="1">
      <c r="B74" s="18"/>
      <c r="C74" s="18"/>
      <c r="D74" s="18"/>
      <c r="E74" s="18"/>
      <c r="F74" s="18"/>
      <c r="G74" s="19"/>
      <c r="H74" s="27"/>
      <c r="I74" s="27"/>
      <c r="J74" s="27"/>
      <c r="K74" s="27"/>
      <c r="L74" s="27"/>
      <c r="M74" s="21"/>
      <c r="N74" s="27"/>
      <c r="O74" s="27"/>
      <c r="P74" s="27"/>
      <c r="Q74" s="27"/>
      <c r="R74" s="27"/>
      <c r="S74" s="21"/>
      <c r="T74" s="28"/>
      <c r="U74" s="28"/>
      <c r="V74" s="28"/>
      <c r="W74" s="28"/>
      <c r="X74" s="28"/>
      <c r="Y74" s="19"/>
      <c r="Z74" s="18"/>
      <c r="AE74" s="19"/>
      <c r="AH74" s="24"/>
      <c r="AI74" s="30"/>
      <c r="AJ74" s="30"/>
      <c r="AK74" s="30"/>
      <c r="AL74" s="24"/>
      <c r="AM74" s="24"/>
    </row>
    <row r="75" ht="15.75" customHeight="1">
      <c r="B75" s="18"/>
      <c r="C75" s="18"/>
      <c r="D75" s="18"/>
      <c r="E75" s="18"/>
      <c r="F75" s="18"/>
      <c r="G75" s="19"/>
      <c r="H75" s="27"/>
      <c r="I75" s="27"/>
      <c r="J75" s="27"/>
      <c r="K75" s="27"/>
      <c r="L75" s="27"/>
      <c r="M75" s="21"/>
      <c r="N75" s="27"/>
      <c r="O75" s="27"/>
      <c r="P75" s="27"/>
      <c r="Q75" s="27"/>
      <c r="R75" s="27"/>
      <c r="S75" s="21"/>
      <c r="T75" s="28"/>
      <c r="U75" s="28"/>
      <c r="V75" s="28"/>
      <c r="W75" s="28"/>
      <c r="X75" s="28"/>
      <c r="Y75" s="19"/>
      <c r="Z75" s="18"/>
      <c r="AE75" s="19"/>
      <c r="AH75" s="24"/>
      <c r="AI75" s="30"/>
      <c r="AJ75" s="30"/>
      <c r="AK75" s="30"/>
      <c r="AL75" s="24"/>
      <c r="AM75" s="24"/>
    </row>
    <row r="76" ht="15.75" customHeight="1">
      <c r="B76" s="18"/>
      <c r="C76" s="18"/>
      <c r="D76" s="18"/>
      <c r="E76" s="18"/>
      <c r="F76" s="18"/>
      <c r="G76" s="19"/>
      <c r="H76" s="27"/>
      <c r="I76" s="27"/>
      <c r="J76" s="27"/>
      <c r="K76" s="27"/>
      <c r="L76" s="27"/>
      <c r="M76" s="21"/>
      <c r="N76" s="27"/>
      <c r="O76" s="27"/>
      <c r="P76" s="27"/>
      <c r="Q76" s="27"/>
      <c r="R76" s="27"/>
      <c r="S76" s="21"/>
      <c r="T76" s="28"/>
      <c r="U76" s="28"/>
      <c r="V76" s="28"/>
      <c r="W76" s="28"/>
      <c r="X76" s="28"/>
      <c r="Y76" s="19"/>
      <c r="Z76" s="18"/>
      <c r="AE76" s="19"/>
      <c r="AH76" s="24"/>
      <c r="AI76" s="30"/>
      <c r="AJ76" s="30"/>
      <c r="AK76" s="30"/>
      <c r="AL76" s="24"/>
      <c r="AM76" s="24"/>
    </row>
    <row r="77" ht="15.75" customHeight="1">
      <c r="B77" s="18"/>
      <c r="C77" s="18"/>
      <c r="D77" s="18"/>
      <c r="E77" s="18"/>
      <c r="F77" s="18"/>
      <c r="G77" s="19"/>
      <c r="H77" s="27"/>
      <c r="I77" s="27"/>
      <c r="J77" s="27"/>
      <c r="K77" s="27"/>
      <c r="L77" s="27"/>
      <c r="M77" s="21"/>
      <c r="N77" s="27"/>
      <c r="O77" s="27"/>
      <c r="P77" s="27"/>
      <c r="Q77" s="27"/>
      <c r="R77" s="27"/>
      <c r="S77" s="21"/>
      <c r="T77" s="28"/>
      <c r="U77" s="28"/>
      <c r="V77" s="28"/>
      <c r="W77" s="28"/>
      <c r="X77" s="28"/>
      <c r="Y77" s="19"/>
      <c r="Z77" s="18"/>
      <c r="AE77" s="19"/>
      <c r="AH77" s="24"/>
      <c r="AI77" s="30"/>
      <c r="AJ77" s="30"/>
      <c r="AK77" s="30"/>
      <c r="AL77" s="24"/>
      <c r="AM77" s="24"/>
    </row>
    <row r="78" ht="15.75" customHeight="1">
      <c r="B78" s="18"/>
      <c r="C78" s="18"/>
      <c r="D78" s="18"/>
      <c r="E78" s="18"/>
      <c r="F78" s="18"/>
      <c r="G78" s="19"/>
      <c r="H78" s="27"/>
      <c r="I78" s="27"/>
      <c r="J78" s="27"/>
      <c r="K78" s="27"/>
      <c r="L78" s="27"/>
      <c r="M78" s="21"/>
      <c r="N78" s="27"/>
      <c r="O78" s="27"/>
      <c r="P78" s="27"/>
      <c r="Q78" s="27"/>
      <c r="R78" s="27"/>
      <c r="S78" s="21"/>
      <c r="T78" s="28"/>
      <c r="U78" s="28"/>
      <c r="V78" s="28"/>
      <c r="W78" s="28"/>
      <c r="X78" s="28"/>
      <c r="Y78" s="19"/>
      <c r="Z78" s="18"/>
      <c r="AE78" s="19"/>
      <c r="AH78" s="24"/>
      <c r="AI78" s="30"/>
      <c r="AJ78" s="30"/>
      <c r="AK78" s="30"/>
      <c r="AL78" s="24"/>
      <c r="AM78" s="24"/>
    </row>
    <row r="79" ht="15.75" customHeight="1">
      <c r="B79" s="18"/>
      <c r="C79" s="18"/>
      <c r="D79" s="18"/>
      <c r="E79" s="18"/>
      <c r="F79" s="18"/>
      <c r="G79" s="19"/>
      <c r="H79" s="27"/>
      <c r="I79" s="27"/>
      <c r="J79" s="27"/>
      <c r="K79" s="27"/>
      <c r="L79" s="27"/>
      <c r="M79" s="21"/>
      <c r="N79" s="27"/>
      <c r="O79" s="27"/>
      <c r="P79" s="27"/>
      <c r="Q79" s="27"/>
      <c r="R79" s="27"/>
      <c r="S79" s="21"/>
      <c r="T79" s="28"/>
      <c r="U79" s="28"/>
      <c r="V79" s="28"/>
      <c r="W79" s="28"/>
      <c r="X79" s="28"/>
      <c r="Y79" s="19"/>
      <c r="Z79" s="18"/>
      <c r="AE79" s="19"/>
      <c r="AH79" s="24"/>
      <c r="AI79" s="30"/>
      <c r="AJ79" s="30"/>
      <c r="AK79" s="30"/>
      <c r="AL79" s="24"/>
      <c r="AM79" s="24"/>
    </row>
    <row r="80" ht="15.75" customHeight="1">
      <c r="B80" s="18"/>
      <c r="C80" s="18"/>
      <c r="D80" s="18"/>
      <c r="E80" s="18"/>
      <c r="F80" s="18"/>
      <c r="G80" s="19"/>
      <c r="H80" s="27"/>
      <c r="I80" s="27"/>
      <c r="J80" s="27"/>
      <c r="K80" s="27"/>
      <c r="L80" s="27"/>
      <c r="M80" s="21"/>
      <c r="N80" s="27"/>
      <c r="O80" s="27"/>
      <c r="P80" s="27"/>
      <c r="Q80" s="27"/>
      <c r="R80" s="27"/>
      <c r="S80" s="21"/>
      <c r="T80" s="28"/>
      <c r="U80" s="28"/>
      <c r="V80" s="28"/>
      <c r="W80" s="28"/>
      <c r="X80" s="28"/>
      <c r="Y80" s="19"/>
      <c r="Z80" s="18"/>
      <c r="AE80" s="19"/>
      <c r="AH80" s="24"/>
      <c r="AI80" s="30"/>
      <c r="AJ80" s="30"/>
      <c r="AK80" s="30"/>
      <c r="AL80" s="24"/>
      <c r="AM80" s="24"/>
    </row>
    <row r="81" ht="15.75" customHeight="1">
      <c r="B81" s="18"/>
      <c r="C81" s="18"/>
      <c r="D81" s="18"/>
      <c r="E81" s="18"/>
      <c r="F81" s="18"/>
      <c r="G81" s="19"/>
      <c r="H81" s="27"/>
      <c r="I81" s="27"/>
      <c r="J81" s="27"/>
      <c r="K81" s="27"/>
      <c r="L81" s="27"/>
      <c r="M81" s="21"/>
      <c r="N81" s="27"/>
      <c r="O81" s="27"/>
      <c r="P81" s="27"/>
      <c r="Q81" s="27"/>
      <c r="R81" s="27"/>
      <c r="S81" s="21"/>
      <c r="T81" s="28"/>
      <c r="U81" s="28"/>
      <c r="V81" s="28"/>
      <c r="W81" s="28"/>
      <c r="X81" s="28"/>
      <c r="Y81" s="19"/>
      <c r="Z81" s="18"/>
      <c r="AE81" s="19"/>
      <c r="AH81" s="24"/>
      <c r="AI81" s="30"/>
      <c r="AJ81" s="30"/>
      <c r="AK81" s="30"/>
      <c r="AL81" s="24"/>
      <c r="AM81" s="24"/>
    </row>
    <row r="82" ht="15.75" customHeight="1">
      <c r="B82" s="18"/>
      <c r="C82" s="18"/>
      <c r="D82" s="18"/>
      <c r="E82" s="18"/>
      <c r="F82" s="18"/>
      <c r="G82" s="19"/>
      <c r="H82" s="27"/>
      <c r="I82" s="27"/>
      <c r="J82" s="27"/>
      <c r="K82" s="27"/>
      <c r="L82" s="27"/>
      <c r="M82" s="21"/>
      <c r="N82" s="27"/>
      <c r="O82" s="27"/>
      <c r="P82" s="27"/>
      <c r="Q82" s="27"/>
      <c r="R82" s="27"/>
      <c r="S82" s="21"/>
      <c r="T82" s="28"/>
      <c r="U82" s="28"/>
      <c r="V82" s="28"/>
      <c r="W82" s="28"/>
      <c r="X82" s="28"/>
      <c r="Y82" s="19"/>
      <c r="Z82" s="18"/>
      <c r="AE82" s="19"/>
      <c r="AH82" s="24"/>
      <c r="AI82" s="30"/>
      <c r="AJ82" s="30"/>
      <c r="AK82" s="30"/>
      <c r="AL82" s="24"/>
      <c r="AM82" s="24"/>
    </row>
    <row r="83" ht="15.75" customHeight="1">
      <c r="B83" s="18"/>
      <c r="C83" s="18"/>
      <c r="D83" s="18"/>
      <c r="E83" s="18"/>
      <c r="F83" s="18"/>
      <c r="G83" s="19"/>
      <c r="H83" s="27"/>
      <c r="I83" s="27"/>
      <c r="J83" s="27"/>
      <c r="K83" s="27"/>
      <c r="L83" s="27"/>
      <c r="M83" s="21"/>
      <c r="N83" s="27"/>
      <c r="O83" s="27"/>
      <c r="P83" s="27"/>
      <c r="Q83" s="27"/>
      <c r="R83" s="27"/>
      <c r="S83" s="21"/>
      <c r="T83" s="28"/>
      <c r="U83" s="28"/>
      <c r="V83" s="28"/>
      <c r="W83" s="28"/>
      <c r="X83" s="28"/>
      <c r="Y83" s="19"/>
      <c r="Z83" s="18"/>
      <c r="AE83" s="19"/>
      <c r="AH83" s="24"/>
      <c r="AI83" s="30"/>
      <c r="AJ83" s="30"/>
      <c r="AK83" s="30"/>
      <c r="AL83" s="24"/>
      <c r="AM83" s="24"/>
    </row>
    <row r="84" ht="15.75" customHeight="1">
      <c r="B84" s="18"/>
      <c r="C84" s="18"/>
      <c r="D84" s="18"/>
      <c r="E84" s="18"/>
      <c r="F84" s="18"/>
      <c r="G84" s="19"/>
      <c r="H84" s="27"/>
      <c r="I84" s="27"/>
      <c r="J84" s="27"/>
      <c r="K84" s="27"/>
      <c r="L84" s="27"/>
      <c r="M84" s="21"/>
      <c r="N84" s="27"/>
      <c r="O84" s="27"/>
      <c r="P84" s="27"/>
      <c r="Q84" s="27"/>
      <c r="R84" s="27"/>
      <c r="S84" s="21"/>
      <c r="T84" s="28"/>
      <c r="U84" s="28"/>
      <c r="V84" s="28"/>
      <c r="W84" s="28"/>
      <c r="X84" s="28"/>
      <c r="Y84" s="19"/>
      <c r="Z84" s="18"/>
      <c r="AE84" s="19"/>
      <c r="AH84" s="24"/>
      <c r="AI84" s="30"/>
      <c r="AJ84" s="30"/>
      <c r="AK84" s="30"/>
      <c r="AL84" s="24"/>
      <c r="AM84" s="24"/>
    </row>
    <row r="85" ht="15.75" customHeight="1">
      <c r="B85" s="18"/>
      <c r="C85" s="18"/>
      <c r="D85" s="18"/>
      <c r="E85" s="18"/>
      <c r="F85" s="18"/>
      <c r="G85" s="19"/>
      <c r="H85" s="27"/>
      <c r="I85" s="27"/>
      <c r="J85" s="27"/>
      <c r="K85" s="27"/>
      <c r="L85" s="27"/>
      <c r="M85" s="21"/>
      <c r="N85" s="27"/>
      <c r="O85" s="27"/>
      <c r="P85" s="27"/>
      <c r="Q85" s="27"/>
      <c r="R85" s="27"/>
      <c r="S85" s="21"/>
      <c r="T85" s="28"/>
      <c r="U85" s="28"/>
      <c r="V85" s="28"/>
      <c r="W85" s="28"/>
      <c r="X85" s="28"/>
      <c r="Y85" s="19"/>
      <c r="Z85" s="18"/>
      <c r="AE85" s="19"/>
      <c r="AH85" s="24"/>
      <c r="AI85" s="30"/>
      <c r="AJ85" s="30"/>
      <c r="AK85" s="30"/>
      <c r="AL85" s="24"/>
      <c r="AM85" s="24"/>
    </row>
    <row r="86" ht="15.75" customHeight="1">
      <c r="B86" s="18"/>
      <c r="C86" s="18"/>
      <c r="D86" s="18"/>
      <c r="E86" s="18"/>
      <c r="F86" s="18"/>
      <c r="G86" s="19"/>
      <c r="H86" s="27"/>
      <c r="I86" s="27"/>
      <c r="J86" s="27"/>
      <c r="K86" s="27"/>
      <c r="L86" s="27"/>
      <c r="M86" s="21"/>
      <c r="N86" s="27"/>
      <c r="O86" s="27"/>
      <c r="P86" s="27"/>
      <c r="Q86" s="27"/>
      <c r="R86" s="27"/>
      <c r="S86" s="21"/>
      <c r="T86" s="28"/>
      <c r="U86" s="28"/>
      <c r="V86" s="28"/>
      <c r="W86" s="28"/>
      <c r="X86" s="28"/>
      <c r="Y86" s="19"/>
      <c r="Z86" s="18"/>
      <c r="AE86" s="19"/>
      <c r="AH86" s="24"/>
      <c r="AI86" s="30"/>
      <c r="AJ86" s="30"/>
      <c r="AK86" s="30"/>
      <c r="AL86" s="24"/>
      <c r="AM86" s="24"/>
    </row>
    <row r="87" ht="15.75" customHeight="1">
      <c r="B87" s="18"/>
      <c r="C87" s="18"/>
      <c r="D87" s="18"/>
      <c r="E87" s="18"/>
      <c r="F87" s="18"/>
      <c r="G87" s="19"/>
      <c r="H87" s="27"/>
      <c r="I87" s="27"/>
      <c r="J87" s="27"/>
      <c r="K87" s="27"/>
      <c r="L87" s="27"/>
      <c r="M87" s="21"/>
      <c r="N87" s="27"/>
      <c r="O87" s="27"/>
      <c r="P87" s="27"/>
      <c r="Q87" s="27"/>
      <c r="R87" s="27"/>
      <c r="S87" s="21"/>
      <c r="T87" s="28"/>
      <c r="U87" s="28"/>
      <c r="V87" s="28"/>
      <c r="W87" s="28"/>
      <c r="X87" s="28"/>
      <c r="Y87" s="19"/>
      <c r="Z87" s="18"/>
      <c r="AE87" s="19"/>
      <c r="AH87" s="24"/>
      <c r="AI87" s="30"/>
      <c r="AJ87" s="30"/>
      <c r="AK87" s="30"/>
      <c r="AL87" s="24"/>
      <c r="AM87" s="24"/>
    </row>
    <row r="88" ht="15.75" customHeight="1">
      <c r="B88" s="18"/>
      <c r="C88" s="18"/>
      <c r="D88" s="18"/>
      <c r="E88" s="18"/>
      <c r="F88" s="18"/>
      <c r="G88" s="19"/>
      <c r="H88" s="27"/>
      <c r="I88" s="27"/>
      <c r="J88" s="27"/>
      <c r="K88" s="27"/>
      <c r="L88" s="27"/>
      <c r="M88" s="21"/>
      <c r="N88" s="27"/>
      <c r="O88" s="27"/>
      <c r="P88" s="27"/>
      <c r="Q88" s="27"/>
      <c r="R88" s="27"/>
      <c r="S88" s="21"/>
      <c r="T88" s="28"/>
      <c r="U88" s="28"/>
      <c r="V88" s="28"/>
      <c r="W88" s="28"/>
      <c r="X88" s="28"/>
      <c r="Y88" s="19"/>
      <c r="Z88" s="18"/>
      <c r="AE88" s="19"/>
      <c r="AH88" s="24"/>
      <c r="AI88" s="30"/>
      <c r="AJ88" s="30"/>
      <c r="AK88" s="30"/>
      <c r="AL88" s="24"/>
      <c r="AM88" s="24"/>
    </row>
    <row r="89" ht="15.75" customHeight="1">
      <c r="B89" s="18"/>
      <c r="C89" s="18"/>
      <c r="D89" s="18"/>
      <c r="E89" s="18"/>
      <c r="F89" s="18"/>
      <c r="G89" s="19"/>
      <c r="H89" s="27"/>
      <c r="I89" s="27"/>
      <c r="J89" s="27"/>
      <c r="K89" s="27"/>
      <c r="L89" s="27"/>
      <c r="M89" s="21"/>
      <c r="N89" s="27"/>
      <c r="O89" s="27"/>
      <c r="P89" s="27"/>
      <c r="Q89" s="27"/>
      <c r="R89" s="27"/>
      <c r="S89" s="21"/>
      <c r="T89" s="28"/>
      <c r="U89" s="28"/>
      <c r="V89" s="28"/>
      <c r="W89" s="28"/>
      <c r="X89" s="28"/>
      <c r="Y89" s="19"/>
      <c r="Z89" s="18"/>
      <c r="AE89" s="19"/>
      <c r="AH89" s="24"/>
      <c r="AI89" s="30"/>
      <c r="AJ89" s="30"/>
      <c r="AK89" s="30"/>
      <c r="AL89" s="24"/>
      <c r="AM89" s="24"/>
    </row>
    <row r="90" ht="15.75" customHeight="1">
      <c r="B90" s="18"/>
      <c r="C90" s="18"/>
      <c r="D90" s="18"/>
      <c r="E90" s="18"/>
      <c r="F90" s="18"/>
      <c r="G90" s="19"/>
      <c r="H90" s="27"/>
      <c r="I90" s="27"/>
      <c r="J90" s="27"/>
      <c r="K90" s="27"/>
      <c r="L90" s="27"/>
      <c r="M90" s="21"/>
      <c r="N90" s="27"/>
      <c r="O90" s="27"/>
      <c r="P90" s="27"/>
      <c r="Q90" s="27"/>
      <c r="R90" s="27"/>
      <c r="S90" s="21"/>
      <c r="T90" s="28"/>
      <c r="U90" s="28"/>
      <c r="V90" s="28"/>
      <c r="W90" s="28"/>
      <c r="X90" s="28"/>
      <c r="Y90" s="19"/>
      <c r="Z90" s="18"/>
      <c r="AE90" s="19"/>
      <c r="AH90" s="24"/>
      <c r="AI90" s="30"/>
      <c r="AJ90" s="30"/>
      <c r="AK90" s="30"/>
      <c r="AL90" s="24"/>
      <c r="AM90" s="24"/>
    </row>
    <row r="91" ht="15.75" customHeight="1">
      <c r="B91" s="18"/>
      <c r="C91" s="18"/>
      <c r="D91" s="18"/>
      <c r="E91" s="18"/>
      <c r="F91" s="18"/>
      <c r="G91" s="19"/>
      <c r="H91" s="27"/>
      <c r="I91" s="27"/>
      <c r="J91" s="27"/>
      <c r="K91" s="27"/>
      <c r="L91" s="27"/>
      <c r="M91" s="21"/>
      <c r="N91" s="27"/>
      <c r="O91" s="27"/>
      <c r="P91" s="27"/>
      <c r="Q91" s="27"/>
      <c r="R91" s="27"/>
      <c r="S91" s="21"/>
      <c r="T91" s="28"/>
      <c r="U91" s="28"/>
      <c r="V91" s="28"/>
      <c r="W91" s="28"/>
      <c r="X91" s="28"/>
      <c r="Y91" s="19"/>
      <c r="Z91" s="18"/>
      <c r="AE91" s="19"/>
      <c r="AH91" s="24"/>
      <c r="AI91" s="30"/>
      <c r="AJ91" s="30"/>
      <c r="AK91" s="30"/>
      <c r="AL91" s="24"/>
      <c r="AM91" s="24"/>
    </row>
    <row r="92" ht="15.75" customHeight="1">
      <c r="B92" s="18"/>
      <c r="C92" s="18"/>
      <c r="D92" s="18"/>
      <c r="E92" s="18"/>
      <c r="F92" s="18"/>
      <c r="G92" s="19"/>
      <c r="H92" s="27"/>
      <c r="I92" s="27"/>
      <c r="J92" s="27"/>
      <c r="K92" s="27"/>
      <c r="L92" s="27"/>
      <c r="M92" s="21"/>
      <c r="N92" s="27"/>
      <c r="O92" s="27"/>
      <c r="P92" s="27"/>
      <c r="Q92" s="27"/>
      <c r="R92" s="27"/>
      <c r="S92" s="21"/>
      <c r="T92" s="28"/>
      <c r="U92" s="28"/>
      <c r="V92" s="28"/>
      <c r="W92" s="28"/>
      <c r="X92" s="28"/>
      <c r="Y92" s="19"/>
      <c r="Z92" s="18"/>
      <c r="AE92" s="19"/>
      <c r="AH92" s="24"/>
      <c r="AI92" s="30"/>
      <c r="AJ92" s="30"/>
      <c r="AK92" s="30"/>
      <c r="AL92" s="24"/>
      <c r="AM92" s="24"/>
    </row>
    <row r="93" ht="15.75" customHeight="1">
      <c r="B93" s="18"/>
      <c r="C93" s="18"/>
      <c r="D93" s="18"/>
      <c r="E93" s="18"/>
      <c r="F93" s="18"/>
      <c r="G93" s="19"/>
      <c r="H93" s="27"/>
      <c r="I93" s="27"/>
      <c r="J93" s="27"/>
      <c r="K93" s="27"/>
      <c r="L93" s="27"/>
      <c r="M93" s="21"/>
      <c r="N93" s="27"/>
      <c r="O93" s="27"/>
      <c r="P93" s="27"/>
      <c r="Q93" s="27"/>
      <c r="R93" s="27"/>
      <c r="S93" s="21"/>
      <c r="T93" s="28"/>
      <c r="U93" s="28"/>
      <c r="V93" s="28"/>
      <c r="W93" s="28"/>
      <c r="X93" s="28"/>
      <c r="Y93" s="19"/>
      <c r="Z93" s="18"/>
      <c r="AE93" s="19"/>
      <c r="AH93" s="24"/>
      <c r="AI93" s="30"/>
      <c r="AJ93" s="30"/>
      <c r="AK93" s="30"/>
      <c r="AL93" s="24"/>
      <c r="AM93" s="24"/>
    </row>
    <row r="94" ht="15.75" customHeight="1">
      <c r="B94" s="18"/>
      <c r="C94" s="18"/>
      <c r="D94" s="18"/>
      <c r="E94" s="18"/>
      <c r="F94" s="18"/>
      <c r="G94" s="19"/>
      <c r="H94" s="27"/>
      <c r="I94" s="27"/>
      <c r="J94" s="27"/>
      <c r="K94" s="27"/>
      <c r="L94" s="27"/>
      <c r="M94" s="21"/>
      <c r="N94" s="27"/>
      <c r="O94" s="27"/>
      <c r="P94" s="27"/>
      <c r="Q94" s="27"/>
      <c r="R94" s="27"/>
      <c r="S94" s="21"/>
      <c r="T94" s="28"/>
      <c r="U94" s="28"/>
      <c r="V94" s="28"/>
      <c r="W94" s="28"/>
      <c r="X94" s="28"/>
      <c r="Y94" s="19"/>
      <c r="Z94" s="18"/>
      <c r="AE94" s="19"/>
      <c r="AH94" s="24"/>
      <c r="AI94" s="30"/>
      <c r="AJ94" s="30"/>
      <c r="AK94" s="30"/>
      <c r="AL94" s="24"/>
      <c r="AM94" s="24"/>
    </row>
    <row r="95" ht="15.75" customHeight="1">
      <c r="B95" s="18"/>
      <c r="C95" s="18"/>
      <c r="D95" s="18"/>
      <c r="E95" s="18"/>
      <c r="F95" s="18"/>
      <c r="G95" s="19"/>
      <c r="H95" s="27"/>
      <c r="I95" s="27"/>
      <c r="J95" s="27"/>
      <c r="K95" s="27"/>
      <c r="L95" s="27"/>
      <c r="M95" s="21"/>
      <c r="N95" s="27"/>
      <c r="O95" s="27"/>
      <c r="P95" s="27"/>
      <c r="Q95" s="27"/>
      <c r="R95" s="27"/>
      <c r="S95" s="21"/>
      <c r="T95" s="28"/>
      <c r="U95" s="28"/>
      <c r="V95" s="28"/>
      <c r="W95" s="28"/>
      <c r="X95" s="28"/>
      <c r="Y95" s="19"/>
      <c r="Z95" s="18"/>
      <c r="AE95" s="19"/>
      <c r="AH95" s="24"/>
      <c r="AI95" s="30"/>
      <c r="AJ95" s="30"/>
      <c r="AK95" s="30"/>
      <c r="AL95" s="24"/>
      <c r="AM95" s="24"/>
    </row>
    <row r="96" ht="15.75" customHeight="1">
      <c r="B96" s="18"/>
      <c r="C96" s="18"/>
      <c r="D96" s="18"/>
      <c r="E96" s="18"/>
      <c r="F96" s="18"/>
      <c r="G96" s="19"/>
      <c r="H96" s="27"/>
      <c r="I96" s="27"/>
      <c r="J96" s="27"/>
      <c r="K96" s="27"/>
      <c r="L96" s="27"/>
      <c r="M96" s="21"/>
      <c r="N96" s="27"/>
      <c r="O96" s="27"/>
      <c r="P96" s="27"/>
      <c r="Q96" s="27"/>
      <c r="R96" s="27"/>
      <c r="S96" s="21"/>
      <c r="T96" s="28"/>
      <c r="U96" s="28"/>
      <c r="V96" s="28"/>
      <c r="W96" s="28"/>
      <c r="X96" s="28"/>
      <c r="Y96" s="19"/>
      <c r="Z96" s="18"/>
      <c r="AE96" s="19"/>
      <c r="AH96" s="24"/>
      <c r="AI96" s="30"/>
      <c r="AJ96" s="30"/>
      <c r="AK96" s="30"/>
      <c r="AL96" s="24"/>
      <c r="AM96" s="24"/>
    </row>
    <row r="97" ht="15.75" customHeight="1">
      <c r="B97" s="18"/>
      <c r="C97" s="18"/>
      <c r="D97" s="18"/>
      <c r="E97" s="18"/>
      <c r="F97" s="18"/>
      <c r="G97" s="19"/>
      <c r="H97" s="27"/>
      <c r="I97" s="27"/>
      <c r="J97" s="27"/>
      <c r="K97" s="27"/>
      <c r="L97" s="27"/>
      <c r="M97" s="21"/>
      <c r="N97" s="27"/>
      <c r="O97" s="27"/>
      <c r="P97" s="27"/>
      <c r="Q97" s="27"/>
      <c r="R97" s="27"/>
      <c r="S97" s="21"/>
      <c r="T97" s="28"/>
      <c r="U97" s="28"/>
      <c r="V97" s="28"/>
      <c r="W97" s="28"/>
      <c r="X97" s="28"/>
      <c r="Y97" s="19"/>
      <c r="Z97" s="18"/>
      <c r="AE97" s="19"/>
      <c r="AH97" s="24"/>
      <c r="AI97" s="30"/>
      <c r="AJ97" s="30"/>
      <c r="AK97" s="30"/>
      <c r="AL97" s="24"/>
      <c r="AM97" s="24"/>
    </row>
    <row r="98" ht="15.75" customHeight="1">
      <c r="B98" s="18"/>
      <c r="C98" s="18"/>
      <c r="D98" s="18"/>
      <c r="E98" s="18"/>
      <c r="F98" s="18"/>
      <c r="G98" s="19"/>
      <c r="H98" s="27"/>
      <c r="I98" s="27"/>
      <c r="J98" s="27"/>
      <c r="K98" s="27"/>
      <c r="L98" s="27"/>
      <c r="M98" s="21"/>
      <c r="N98" s="27"/>
      <c r="O98" s="27"/>
      <c r="P98" s="27"/>
      <c r="Q98" s="27"/>
      <c r="R98" s="27"/>
      <c r="S98" s="21"/>
      <c r="T98" s="28"/>
      <c r="U98" s="28"/>
      <c r="V98" s="28"/>
      <c r="W98" s="28"/>
      <c r="X98" s="28"/>
      <c r="Y98" s="19"/>
      <c r="Z98" s="18"/>
      <c r="AE98" s="19"/>
      <c r="AH98" s="24"/>
      <c r="AI98" s="30"/>
      <c r="AJ98" s="30"/>
      <c r="AK98" s="30"/>
      <c r="AL98" s="24"/>
      <c r="AM98" s="24"/>
    </row>
    <row r="99" ht="15.75" customHeight="1">
      <c r="B99" s="18"/>
      <c r="C99" s="18"/>
      <c r="D99" s="18"/>
      <c r="E99" s="18"/>
      <c r="F99" s="18"/>
      <c r="G99" s="19"/>
      <c r="H99" s="27"/>
      <c r="I99" s="27"/>
      <c r="J99" s="27"/>
      <c r="K99" s="27"/>
      <c r="L99" s="27"/>
      <c r="M99" s="21"/>
      <c r="N99" s="27"/>
      <c r="O99" s="27"/>
      <c r="P99" s="27"/>
      <c r="Q99" s="27"/>
      <c r="R99" s="27"/>
      <c r="S99" s="21"/>
      <c r="T99" s="28"/>
      <c r="U99" s="28"/>
      <c r="V99" s="28"/>
      <c r="W99" s="28"/>
      <c r="X99" s="28"/>
      <c r="Y99" s="19"/>
      <c r="Z99" s="18"/>
      <c r="AE99" s="19"/>
      <c r="AH99" s="24"/>
      <c r="AI99" s="30"/>
      <c r="AJ99" s="30"/>
      <c r="AK99" s="30"/>
      <c r="AL99" s="24"/>
      <c r="AM99" s="24"/>
    </row>
    <row r="100" ht="15.75" customHeight="1">
      <c r="B100" s="18"/>
      <c r="C100" s="18"/>
      <c r="D100" s="18"/>
      <c r="E100" s="18"/>
      <c r="F100" s="18"/>
      <c r="G100" s="19"/>
      <c r="H100" s="27"/>
      <c r="I100" s="27"/>
      <c r="J100" s="27"/>
      <c r="K100" s="27"/>
      <c r="L100" s="27"/>
      <c r="M100" s="21"/>
      <c r="N100" s="27"/>
      <c r="O100" s="27"/>
      <c r="P100" s="27"/>
      <c r="Q100" s="27"/>
      <c r="R100" s="27"/>
      <c r="S100" s="21"/>
      <c r="T100" s="28"/>
      <c r="U100" s="28"/>
      <c r="V100" s="28"/>
      <c r="W100" s="28"/>
      <c r="X100" s="28"/>
      <c r="Y100" s="19"/>
      <c r="Z100" s="18"/>
      <c r="AE100" s="19"/>
      <c r="AH100" s="24"/>
      <c r="AI100" s="30"/>
      <c r="AJ100" s="30"/>
      <c r="AK100" s="30"/>
      <c r="AL100" s="24"/>
      <c r="AM100" s="24"/>
    </row>
    <row r="101" ht="15.75" customHeight="1">
      <c r="B101" s="18"/>
      <c r="C101" s="18"/>
      <c r="D101" s="18"/>
      <c r="E101" s="18"/>
      <c r="F101" s="18"/>
      <c r="G101" s="19"/>
      <c r="H101" s="27"/>
      <c r="I101" s="27"/>
      <c r="J101" s="27"/>
      <c r="K101" s="27"/>
      <c r="L101" s="27"/>
      <c r="M101" s="21"/>
      <c r="N101" s="27"/>
      <c r="O101" s="27"/>
      <c r="P101" s="27"/>
      <c r="Q101" s="27"/>
      <c r="R101" s="27"/>
      <c r="S101" s="21"/>
      <c r="T101" s="28"/>
      <c r="U101" s="28"/>
      <c r="V101" s="28"/>
      <c r="W101" s="28"/>
      <c r="X101" s="28"/>
      <c r="Y101" s="19"/>
      <c r="Z101" s="18"/>
      <c r="AE101" s="19"/>
      <c r="AH101" s="24"/>
      <c r="AI101" s="30"/>
      <c r="AJ101" s="30"/>
      <c r="AK101" s="30"/>
      <c r="AL101" s="24"/>
      <c r="AM101" s="24"/>
    </row>
    <row r="102" ht="15.75" customHeight="1">
      <c r="B102" s="18"/>
      <c r="C102" s="18"/>
      <c r="D102" s="18"/>
      <c r="E102" s="18"/>
      <c r="F102" s="18"/>
      <c r="G102" s="19"/>
      <c r="H102" s="27"/>
      <c r="I102" s="27"/>
      <c r="J102" s="27"/>
      <c r="K102" s="27"/>
      <c r="L102" s="27"/>
      <c r="M102" s="21"/>
      <c r="N102" s="27"/>
      <c r="O102" s="27"/>
      <c r="P102" s="27"/>
      <c r="Q102" s="27"/>
      <c r="R102" s="27"/>
      <c r="S102" s="21"/>
      <c r="T102" s="28"/>
      <c r="U102" s="28"/>
      <c r="V102" s="28"/>
      <c r="W102" s="28"/>
      <c r="X102" s="28"/>
      <c r="Y102" s="19"/>
      <c r="Z102" s="18"/>
      <c r="AE102" s="19"/>
      <c r="AH102" s="24"/>
      <c r="AI102" s="30"/>
      <c r="AJ102" s="30"/>
      <c r="AK102" s="30"/>
      <c r="AL102" s="24"/>
      <c r="AM102" s="24"/>
    </row>
    <row r="103" ht="15.75" customHeight="1">
      <c r="B103" s="18"/>
      <c r="C103" s="18"/>
      <c r="D103" s="18"/>
      <c r="E103" s="18"/>
      <c r="F103" s="18"/>
      <c r="G103" s="19"/>
      <c r="H103" s="27"/>
      <c r="I103" s="27"/>
      <c r="J103" s="27"/>
      <c r="K103" s="27"/>
      <c r="L103" s="27"/>
      <c r="M103" s="21"/>
      <c r="N103" s="27"/>
      <c r="O103" s="27"/>
      <c r="P103" s="27"/>
      <c r="Q103" s="27"/>
      <c r="R103" s="27"/>
      <c r="S103" s="21"/>
      <c r="T103" s="28"/>
      <c r="U103" s="28"/>
      <c r="V103" s="28"/>
      <c r="W103" s="28"/>
      <c r="X103" s="28"/>
      <c r="Y103" s="19"/>
      <c r="Z103" s="18"/>
      <c r="AE103" s="19"/>
      <c r="AH103" s="24"/>
      <c r="AI103" s="30"/>
      <c r="AJ103" s="30"/>
      <c r="AK103" s="30"/>
      <c r="AL103" s="24"/>
      <c r="AM103" s="24"/>
    </row>
    <row r="104" ht="15.75" customHeight="1">
      <c r="B104" s="18"/>
      <c r="C104" s="18"/>
      <c r="D104" s="18"/>
      <c r="E104" s="18"/>
      <c r="F104" s="18"/>
      <c r="G104" s="19"/>
      <c r="H104" s="27"/>
      <c r="I104" s="27"/>
      <c r="J104" s="27"/>
      <c r="K104" s="27"/>
      <c r="L104" s="27"/>
      <c r="M104" s="21"/>
      <c r="N104" s="27"/>
      <c r="O104" s="27"/>
      <c r="P104" s="27"/>
      <c r="Q104" s="27"/>
      <c r="R104" s="27"/>
      <c r="S104" s="21"/>
      <c r="T104" s="28"/>
      <c r="U104" s="28"/>
      <c r="V104" s="28"/>
      <c r="W104" s="28"/>
      <c r="X104" s="28"/>
      <c r="Y104" s="19"/>
      <c r="Z104" s="18"/>
      <c r="AE104" s="19"/>
      <c r="AH104" s="24"/>
      <c r="AI104" s="30"/>
      <c r="AJ104" s="30"/>
      <c r="AK104" s="30"/>
      <c r="AL104" s="24"/>
      <c r="AM104" s="24"/>
    </row>
    <row r="105" ht="15.75" customHeight="1">
      <c r="B105" s="18"/>
      <c r="C105" s="18"/>
      <c r="D105" s="18"/>
      <c r="E105" s="18"/>
      <c r="F105" s="18"/>
      <c r="G105" s="19"/>
      <c r="H105" s="27"/>
      <c r="I105" s="27"/>
      <c r="J105" s="27"/>
      <c r="K105" s="27"/>
      <c r="L105" s="27"/>
      <c r="M105" s="21"/>
      <c r="N105" s="27"/>
      <c r="O105" s="27"/>
      <c r="P105" s="27"/>
      <c r="Q105" s="27"/>
      <c r="R105" s="27"/>
      <c r="S105" s="21"/>
      <c r="T105" s="28"/>
      <c r="U105" s="28"/>
      <c r="V105" s="28"/>
      <c r="W105" s="28"/>
      <c r="X105" s="28"/>
      <c r="Y105" s="19"/>
      <c r="Z105" s="18"/>
      <c r="AE105" s="19"/>
      <c r="AH105" s="24"/>
      <c r="AI105" s="30"/>
      <c r="AJ105" s="30"/>
      <c r="AK105" s="30"/>
      <c r="AL105" s="24"/>
      <c r="AM105" s="24"/>
    </row>
    <row r="106" ht="15.75" customHeight="1">
      <c r="B106" s="18"/>
      <c r="C106" s="18"/>
      <c r="D106" s="18"/>
      <c r="E106" s="18"/>
      <c r="F106" s="18"/>
      <c r="G106" s="19"/>
      <c r="H106" s="27"/>
      <c r="I106" s="27"/>
      <c r="J106" s="27"/>
      <c r="K106" s="27"/>
      <c r="L106" s="27"/>
      <c r="M106" s="21"/>
      <c r="N106" s="27"/>
      <c r="O106" s="27"/>
      <c r="P106" s="27"/>
      <c r="Q106" s="27"/>
      <c r="R106" s="27"/>
      <c r="S106" s="21"/>
      <c r="T106" s="28"/>
      <c r="U106" s="28"/>
      <c r="V106" s="28"/>
      <c r="W106" s="28"/>
      <c r="X106" s="28"/>
      <c r="Y106" s="19"/>
      <c r="Z106" s="18"/>
      <c r="AE106" s="19"/>
      <c r="AH106" s="24"/>
      <c r="AI106" s="30"/>
      <c r="AJ106" s="30"/>
      <c r="AK106" s="30"/>
      <c r="AL106" s="24"/>
      <c r="AM106" s="24"/>
    </row>
    <row r="107" ht="15.75" customHeight="1">
      <c r="B107" s="18"/>
      <c r="C107" s="18"/>
      <c r="D107" s="18"/>
      <c r="E107" s="18"/>
      <c r="F107" s="18"/>
      <c r="G107" s="19"/>
      <c r="H107" s="27"/>
      <c r="I107" s="27"/>
      <c r="J107" s="27"/>
      <c r="K107" s="27"/>
      <c r="L107" s="27"/>
      <c r="M107" s="21"/>
      <c r="N107" s="27"/>
      <c r="O107" s="27"/>
      <c r="P107" s="27"/>
      <c r="Q107" s="27"/>
      <c r="R107" s="27"/>
      <c r="S107" s="21"/>
      <c r="T107" s="28"/>
      <c r="U107" s="28"/>
      <c r="V107" s="28"/>
      <c r="W107" s="28"/>
      <c r="X107" s="28"/>
      <c r="Y107" s="19"/>
      <c r="Z107" s="18"/>
      <c r="AE107" s="19"/>
      <c r="AH107" s="24"/>
      <c r="AI107" s="30"/>
      <c r="AJ107" s="30"/>
      <c r="AK107" s="30"/>
      <c r="AL107" s="24"/>
      <c r="AM107" s="24"/>
    </row>
    <row r="108" ht="15.75" customHeight="1">
      <c r="B108" s="18"/>
      <c r="C108" s="18"/>
      <c r="D108" s="18"/>
      <c r="E108" s="18"/>
      <c r="F108" s="18"/>
      <c r="G108" s="19"/>
      <c r="H108" s="27"/>
      <c r="I108" s="27"/>
      <c r="J108" s="27"/>
      <c r="K108" s="27"/>
      <c r="L108" s="27"/>
      <c r="M108" s="21"/>
      <c r="N108" s="27"/>
      <c r="O108" s="27"/>
      <c r="P108" s="27"/>
      <c r="Q108" s="27"/>
      <c r="R108" s="27"/>
      <c r="S108" s="21"/>
      <c r="T108" s="28"/>
      <c r="U108" s="28"/>
      <c r="V108" s="28"/>
      <c r="W108" s="28"/>
      <c r="X108" s="28"/>
      <c r="Y108" s="19"/>
      <c r="Z108" s="18"/>
      <c r="AE108" s="19"/>
      <c r="AH108" s="24"/>
      <c r="AI108" s="30"/>
      <c r="AJ108" s="30"/>
      <c r="AK108" s="30"/>
      <c r="AL108" s="24"/>
      <c r="AM108" s="24"/>
    </row>
    <row r="109" ht="15.75" customHeight="1">
      <c r="B109" s="18"/>
      <c r="C109" s="18"/>
      <c r="D109" s="18"/>
      <c r="E109" s="18"/>
      <c r="F109" s="18"/>
      <c r="G109" s="19"/>
      <c r="H109" s="27"/>
      <c r="I109" s="27"/>
      <c r="J109" s="27"/>
      <c r="K109" s="27"/>
      <c r="L109" s="27"/>
      <c r="M109" s="21"/>
      <c r="N109" s="27"/>
      <c r="O109" s="27"/>
      <c r="P109" s="27"/>
      <c r="Q109" s="27"/>
      <c r="R109" s="27"/>
      <c r="S109" s="21"/>
      <c r="T109" s="28"/>
      <c r="U109" s="28"/>
      <c r="V109" s="28"/>
      <c r="W109" s="28"/>
      <c r="X109" s="28"/>
      <c r="Y109" s="19"/>
      <c r="Z109" s="18"/>
      <c r="AE109" s="19"/>
      <c r="AH109" s="24"/>
      <c r="AI109" s="30"/>
      <c r="AJ109" s="30"/>
      <c r="AK109" s="30"/>
      <c r="AL109" s="24"/>
      <c r="AM109" s="24"/>
    </row>
    <row r="110" ht="15.75" customHeight="1">
      <c r="B110" s="18"/>
      <c r="C110" s="18"/>
      <c r="D110" s="18"/>
      <c r="E110" s="18"/>
      <c r="F110" s="18"/>
      <c r="G110" s="19"/>
      <c r="H110" s="27"/>
      <c r="I110" s="27"/>
      <c r="J110" s="27"/>
      <c r="K110" s="27"/>
      <c r="L110" s="27"/>
      <c r="M110" s="21"/>
      <c r="N110" s="27"/>
      <c r="O110" s="27"/>
      <c r="P110" s="27"/>
      <c r="Q110" s="27"/>
      <c r="R110" s="27"/>
      <c r="S110" s="21"/>
      <c r="T110" s="28"/>
      <c r="U110" s="28"/>
      <c r="V110" s="28"/>
      <c r="W110" s="28"/>
      <c r="X110" s="28"/>
      <c r="Y110" s="19"/>
      <c r="Z110" s="18"/>
      <c r="AE110" s="19"/>
      <c r="AH110" s="24"/>
      <c r="AI110" s="30"/>
      <c r="AJ110" s="30"/>
      <c r="AK110" s="30"/>
      <c r="AL110" s="24"/>
      <c r="AM110" s="24"/>
    </row>
    <row r="111" ht="15.75" customHeight="1">
      <c r="B111" s="18"/>
      <c r="C111" s="18"/>
      <c r="D111" s="18"/>
      <c r="E111" s="18"/>
      <c r="F111" s="18"/>
      <c r="G111" s="19"/>
      <c r="H111" s="27"/>
      <c r="I111" s="27"/>
      <c r="J111" s="27"/>
      <c r="K111" s="27"/>
      <c r="L111" s="27"/>
      <c r="M111" s="21"/>
      <c r="N111" s="27"/>
      <c r="O111" s="27"/>
      <c r="P111" s="27"/>
      <c r="Q111" s="27"/>
      <c r="R111" s="27"/>
      <c r="S111" s="21"/>
      <c r="T111" s="28"/>
      <c r="U111" s="28"/>
      <c r="V111" s="28"/>
      <c r="W111" s="28"/>
      <c r="X111" s="28"/>
      <c r="Y111" s="19"/>
      <c r="Z111" s="18"/>
      <c r="AE111" s="19"/>
      <c r="AH111" s="24"/>
      <c r="AI111" s="30"/>
      <c r="AJ111" s="30"/>
      <c r="AK111" s="30"/>
      <c r="AL111" s="24"/>
      <c r="AM111" s="24"/>
    </row>
    <row r="112" ht="15.75" customHeight="1">
      <c r="B112" s="18"/>
      <c r="C112" s="18"/>
      <c r="D112" s="18"/>
      <c r="E112" s="18"/>
      <c r="F112" s="18"/>
      <c r="G112" s="19"/>
      <c r="H112" s="27"/>
      <c r="I112" s="27"/>
      <c r="J112" s="27"/>
      <c r="K112" s="27"/>
      <c r="L112" s="27"/>
      <c r="M112" s="21"/>
      <c r="N112" s="27"/>
      <c r="O112" s="27"/>
      <c r="P112" s="27"/>
      <c r="Q112" s="27"/>
      <c r="R112" s="27"/>
      <c r="S112" s="21"/>
      <c r="T112" s="28"/>
      <c r="U112" s="28"/>
      <c r="V112" s="28"/>
      <c r="W112" s="28"/>
      <c r="X112" s="28"/>
      <c r="Y112" s="19"/>
      <c r="Z112" s="18"/>
      <c r="AE112" s="19"/>
      <c r="AH112" s="24"/>
      <c r="AI112" s="30"/>
      <c r="AJ112" s="30"/>
      <c r="AK112" s="30"/>
      <c r="AL112" s="24"/>
      <c r="AM112" s="24"/>
    </row>
    <row r="113" ht="15.75" customHeight="1">
      <c r="B113" s="18"/>
      <c r="C113" s="18"/>
      <c r="D113" s="18"/>
      <c r="E113" s="18"/>
      <c r="F113" s="18"/>
      <c r="G113" s="19"/>
      <c r="H113" s="27"/>
      <c r="I113" s="27"/>
      <c r="J113" s="27"/>
      <c r="K113" s="27"/>
      <c r="L113" s="27"/>
      <c r="M113" s="21"/>
      <c r="N113" s="27"/>
      <c r="O113" s="27"/>
      <c r="P113" s="27"/>
      <c r="Q113" s="27"/>
      <c r="R113" s="27"/>
      <c r="S113" s="21"/>
      <c r="T113" s="28"/>
      <c r="U113" s="28"/>
      <c r="V113" s="28"/>
      <c r="W113" s="28"/>
      <c r="X113" s="28"/>
      <c r="Y113" s="19"/>
      <c r="Z113" s="18"/>
      <c r="AE113" s="19"/>
      <c r="AH113" s="24"/>
      <c r="AI113" s="30"/>
      <c r="AJ113" s="30"/>
      <c r="AK113" s="30"/>
      <c r="AL113" s="24"/>
      <c r="AM113" s="24"/>
    </row>
    <row r="114" ht="15.75" customHeight="1">
      <c r="B114" s="18"/>
      <c r="C114" s="18"/>
      <c r="D114" s="18"/>
      <c r="E114" s="18"/>
      <c r="F114" s="18"/>
      <c r="G114" s="19"/>
      <c r="H114" s="27"/>
      <c r="I114" s="27"/>
      <c r="J114" s="27"/>
      <c r="K114" s="27"/>
      <c r="L114" s="27"/>
      <c r="M114" s="21"/>
      <c r="N114" s="27"/>
      <c r="O114" s="27"/>
      <c r="P114" s="27"/>
      <c r="Q114" s="27"/>
      <c r="R114" s="27"/>
      <c r="S114" s="21"/>
      <c r="T114" s="28"/>
      <c r="U114" s="28"/>
      <c r="V114" s="28"/>
      <c r="W114" s="28"/>
      <c r="X114" s="28"/>
      <c r="Y114" s="19"/>
      <c r="Z114" s="18"/>
      <c r="AE114" s="19"/>
      <c r="AH114" s="24"/>
      <c r="AI114" s="30"/>
      <c r="AJ114" s="30"/>
      <c r="AK114" s="30"/>
      <c r="AL114" s="24"/>
      <c r="AM114" s="24"/>
    </row>
    <row r="115" ht="15.75" customHeight="1">
      <c r="B115" s="18"/>
      <c r="C115" s="18"/>
      <c r="D115" s="18"/>
      <c r="E115" s="18"/>
      <c r="F115" s="18"/>
      <c r="G115" s="19"/>
      <c r="H115" s="27"/>
      <c r="I115" s="27"/>
      <c r="J115" s="27"/>
      <c r="K115" s="27"/>
      <c r="L115" s="27"/>
      <c r="M115" s="21"/>
      <c r="N115" s="27"/>
      <c r="O115" s="27"/>
      <c r="P115" s="27"/>
      <c r="Q115" s="27"/>
      <c r="R115" s="27"/>
      <c r="S115" s="21"/>
      <c r="T115" s="28"/>
      <c r="U115" s="28"/>
      <c r="V115" s="28"/>
      <c r="W115" s="28"/>
      <c r="X115" s="28"/>
      <c r="Y115" s="19"/>
      <c r="Z115" s="18"/>
      <c r="AE115" s="19"/>
      <c r="AH115" s="24"/>
      <c r="AI115" s="30"/>
      <c r="AJ115" s="30"/>
      <c r="AK115" s="30"/>
      <c r="AL115" s="24"/>
      <c r="AM115" s="24"/>
    </row>
    <row r="116" ht="15.75" customHeight="1">
      <c r="B116" s="18"/>
      <c r="C116" s="18"/>
      <c r="D116" s="18"/>
      <c r="E116" s="18"/>
      <c r="F116" s="18"/>
      <c r="G116" s="19"/>
      <c r="H116" s="27"/>
      <c r="I116" s="27"/>
      <c r="J116" s="27"/>
      <c r="K116" s="27"/>
      <c r="L116" s="27"/>
      <c r="M116" s="21"/>
      <c r="N116" s="27"/>
      <c r="O116" s="27"/>
      <c r="P116" s="27"/>
      <c r="Q116" s="27"/>
      <c r="R116" s="27"/>
      <c r="S116" s="21"/>
      <c r="T116" s="28"/>
      <c r="U116" s="28"/>
      <c r="V116" s="28"/>
      <c r="W116" s="28"/>
      <c r="X116" s="28"/>
      <c r="Y116" s="19"/>
      <c r="Z116" s="18"/>
      <c r="AE116" s="19"/>
      <c r="AH116" s="24"/>
      <c r="AI116" s="30"/>
      <c r="AJ116" s="30"/>
      <c r="AK116" s="30"/>
      <c r="AL116" s="24"/>
      <c r="AM116" s="24"/>
    </row>
    <row r="117" ht="15.75" customHeight="1">
      <c r="B117" s="18"/>
      <c r="C117" s="18"/>
      <c r="D117" s="18"/>
      <c r="E117" s="18"/>
      <c r="F117" s="18"/>
      <c r="G117" s="19"/>
      <c r="H117" s="27"/>
      <c r="I117" s="27"/>
      <c r="J117" s="27"/>
      <c r="K117" s="27"/>
      <c r="L117" s="27"/>
      <c r="M117" s="21"/>
      <c r="N117" s="27"/>
      <c r="O117" s="27"/>
      <c r="P117" s="27"/>
      <c r="Q117" s="27"/>
      <c r="R117" s="27"/>
      <c r="S117" s="21"/>
      <c r="T117" s="28"/>
      <c r="U117" s="28"/>
      <c r="V117" s="28"/>
      <c r="W117" s="28"/>
      <c r="X117" s="28"/>
      <c r="Y117" s="19"/>
      <c r="Z117" s="18"/>
      <c r="AE117" s="19"/>
      <c r="AH117" s="24"/>
      <c r="AI117" s="30"/>
      <c r="AJ117" s="30"/>
      <c r="AK117" s="30"/>
      <c r="AL117" s="24"/>
      <c r="AM117" s="24"/>
    </row>
    <row r="118" ht="15.75" customHeight="1">
      <c r="B118" s="18"/>
      <c r="C118" s="18"/>
      <c r="D118" s="18"/>
      <c r="E118" s="18"/>
      <c r="F118" s="18"/>
      <c r="G118" s="19"/>
      <c r="H118" s="27"/>
      <c r="I118" s="27"/>
      <c r="J118" s="27"/>
      <c r="K118" s="27"/>
      <c r="L118" s="27"/>
      <c r="M118" s="21"/>
      <c r="N118" s="27"/>
      <c r="O118" s="27"/>
      <c r="P118" s="27"/>
      <c r="Q118" s="27"/>
      <c r="R118" s="27"/>
      <c r="S118" s="21"/>
      <c r="T118" s="28"/>
      <c r="U118" s="28"/>
      <c r="V118" s="28"/>
      <c r="W118" s="28"/>
      <c r="X118" s="28"/>
      <c r="Y118" s="19"/>
      <c r="Z118" s="18"/>
      <c r="AE118" s="19"/>
      <c r="AH118" s="24"/>
      <c r="AI118" s="30"/>
      <c r="AJ118" s="30"/>
      <c r="AK118" s="30"/>
      <c r="AL118" s="24"/>
      <c r="AM118" s="24"/>
    </row>
    <row r="119" ht="15.75" customHeight="1">
      <c r="B119" s="18"/>
      <c r="C119" s="18"/>
      <c r="D119" s="18"/>
      <c r="E119" s="18"/>
      <c r="F119" s="18"/>
      <c r="G119" s="19"/>
      <c r="H119" s="27"/>
      <c r="I119" s="27"/>
      <c r="J119" s="27"/>
      <c r="K119" s="27"/>
      <c r="L119" s="27"/>
      <c r="M119" s="21"/>
      <c r="N119" s="27"/>
      <c r="O119" s="27"/>
      <c r="P119" s="27"/>
      <c r="Q119" s="27"/>
      <c r="R119" s="27"/>
      <c r="S119" s="21"/>
      <c r="T119" s="28"/>
      <c r="U119" s="28"/>
      <c r="V119" s="28"/>
      <c r="W119" s="28"/>
      <c r="X119" s="28"/>
      <c r="Y119" s="19"/>
      <c r="Z119" s="18"/>
      <c r="AE119" s="19"/>
      <c r="AH119" s="24"/>
      <c r="AI119" s="30"/>
      <c r="AJ119" s="30"/>
      <c r="AK119" s="30"/>
      <c r="AL119" s="24"/>
      <c r="AM119" s="24"/>
    </row>
    <row r="120" ht="15.75" customHeight="1">
      <c r="B120" s="18"/>
      <c r="C120" s="18"/>
      <c r="D120" s="18"/>
      <c r="E120" s="18"/>
      <c r="F120" s="18"/>
      <c r="G120" s="19"/>
      <c r="H120" s="27"/>
      <c r="I120" s="27"/>
      <c r="J120" s="27"/>
      <c r="K120" s="27"/>
      <c r="L120" s="27"/>
      <c r="M120" s="21"/>
      <c r="N120" s="27"/>
      <c r="O120" s="27"/>
      <c r="P120" s="27"/>
      <c r="Q120" s="27"/>
      <c r="R120" s="27"/>
      <c r="S120" s="21"/>
      <c r="T120" s="28"/>
      <c r="U120" s="28"/>
      <c r="V120" s="28"/>
      <c r="W120" s="28"/>
      <c r="X120" s="28"/>
      <c r="Y120" s="19"/>
      <c r="Z120" s="18"/>
      <c r="AE120" s="19"/>
      <c r="AH120" s="24"/>
      <c r="AI120" s="30"/>
      <c r="AJ120" s="30"/>
      <c r="AK120" s="30"/>
      <c r="AL120" s="24"/>
      <c r="AM120" s="24"/>
    </row>
    <row r="121" ht="15.75" customHeight="1">
      <c r="B121" s="18"/>
      <c r="C121" s="18"/>
      <c r="D121" s="18"/>
      <c r="E121" s="18"/>
      <c r="F121" s="18"/>
      <c r="G121" s="19"/>
      <c r="H121" s="27"/>
      <c r="I121" s="27"/>
      <c r="J121" s="27"/>
      <c r="K121" s="27"/>
      <c r="L121" s="27"/>
      <c r="M121" s="21"/>
      <c r="N121" s="27"/>
      <c r="O121" s="27"/>
      <c r="P121" s="27"/>
      <c r="Q121" s="27"/>
      <c r="R121" s="27"/>
      <c r="S121" s="21"/>
      <c r="T121" s="28"/>
      <c r="U121" s="28"/>
      <c r="V121" s="28"/>
      <c r="W121" s="28"/>
      <c r="X121" s="28"/>
      <c r="Y121" s="19"/>
      <c r="Z121" s="18"/>
      <c r="AE121" s="19"/>
      <c r="AH121" s="24"/>
      <c r="AI121" s="30"/>
      <c r="AJ121" s="30"/>
      <c r="AK121" s="30"/>
      <c r="AL121" s="24"/>
      <c r="AM121" s="24"/>
    </row>
    <row r="122" ht="15.75" customHeight="1">
      <c r="B122" s="18"/>
      <c r="C122" s="18"/>
      <c r="D122" s="18"/>
      <c r="E122" s="18"/>
      <c r="F122" s="18"/>
      <c r="G122" s="19"/>
      <c r="H122" s="27"/>
      <c r="I122" s="27"/>
      <c r="J122" s="27"/>
      <c r="K122" s="27"/>
      <c r="L122" s="27"/>
      <c r="M122" s="21"/>
      <c r="N122" s="27"/>
      <c r="O122" s="27"/>
      <c r="P122" s="27"/>
      <c r="Q122" s="27"/>
      <c r="R122" s="27"/>
      <c r="S122" s="21"/>
      <c r="T122" s="28"/>
      <c r="U122" s="28"/>
      <c r="V122" s="28"/>
      <c r="W122" s="28"/>
      <c r="X122" s="28"/>
      <c r="Y122" s="19"/>
      <c r="Z122" s="18"/>
      <c r="AE122" s="19"/>
      <c r="AH122" s="24"/>
      <c r="AI122" s="30"/>
      <c r="AJ122" s="30"/>
      <c r="AK122" s="30"/>
      <c r="AL122" s="24"/>
      <c r="AM122" s="24"/>
    </row>
    <row r="123" ht="15.75" customHeight="1">
      <c r="B123" s="18"/>
      <c r="C123" s="18"/>
      <c r="D123" s="18"/>
      <c r="E123" s="18"/>
      <c r="F123" s="18"/>
      <c r="G123" s="19"/>
      <c r="H123" s="27"/>
      <c r="I123" s="27"/>
      <c r="J123" s="27"/>
      <c r="K123" s="27"/>
      <c r="L123" s="27"/>
      <c r="M123" s="21"/>
      <c r="N123" s="27"/>
      <c r="O123" s="27"/>
      <c r="P123" s="27"/>
      <c r="Q123" s="27"/>
      <c r="R123" s="27"/>
      <c r="S123" s="21"/>
      <c r="T123" s="28"/>
      <c r="U123" s="28"/>
      <c r="V123" s="28"/>
      <c r="W123" s="28"/>
      <c r="X123" s="28"/>
      <c r="Y123" s="19"/>
      <c r="Z123" s="18"/>
      <c r="AE123" s="19"/>
      <c r="AH123" s="24"/>
      <c r="AI123" s="30"/>
      <c r="AJ123" s="30"/>
      <c r="AK123" s="30"/>
      <c r="AL123" s="24"/>
      <c r="AM123" s="24"/>
    </row>
    <row r="124" ht="15.75" customHeight="1">
      <c r="B124" s="18"/>
      <c r="C124" s="18"/>
      <c r="D124" s="18"/>
      <c r="E124" s="18"/>
      <c r="F124" s="18"/>
      <c r="G124" s="19"/>
      <c r="H124" s="27"/>
      <c r="I124" s="27"/>
      <c r="J124" s="27"/>
      <c r="K124" s="27"/>
      <c r="L124" s="27"/>
      <c r="M124" s="21"/>
      <c r="N124" s="27"/>
      <c r="O124" s="27"/>
      <c r="P124" s="27"/>
      <c r="Q124" s="27"/>
      <c r="R124" s="27"/>
      <c r="S124" s="21"/>
      <c r="T124" s="28"/>
      <c r="U124" s="28"/>
      <c r="V124" s="28"/>
      <c r="W124" s="28"/>
      <c r="X124" s="28"/>
      <c r="Y124" s="19"/>
      <c r="Z124" s="18"/>
      <c r="AE124" s="19"/>
      <c r="AH124" s="24"/>
      <c r="AI124" s="30"/>
      <c r="AJ124" s="30"/>
      <c r="AK124" s="30"/>
      <c r="AL124" s="24"/>
      <c r="AM124" s="24"/>
    </row>
    <row r="125" ht="15.75" customHeight="1">
      <c r="B125" s="18"/>
      <c r="C125" s="18"/>
      <c r="D125" s="18"/>
      <c r="E125" s="18"/>
      <c r="F125" s="18"/>
      <c r="G125" s="19"/>
      <c r="H125" s="27"/>
      <c r="I125" s="27"/>
      <c r="J125" s="27"/>
      <c r="K125" s="27"/>
      <c r="L125" s="27"/>
      <c r="M125" s="21"/>
      <c r="N125" s="27"/>
      <c r="O125" s="27"/>
      <c r="P125" s="27"/>
      <c r="Q125" s="27"/>
      <c r="R125" s="27"/>
      <c r="S125" s="21"/>
      <c r="T125" s="28"/>
      <c r="U125" s="28"/>
      <c r="V125" s="28"/>
      <c r="W125" s="28"/>
      <c r="X125" s="28"/>
      <c r="Y125" s="19"/>
      <c r="Z125" s="18"/>
      <c r="AE125" s="19"/>
      <c r="AH125" s="24"/>
      <c r="AI125" s="30"/>
      <c r="AJ125" s="30"/>
      <c r="AK125" s="30"/>
      <c r="AL125" s="24"/>
      <c r="AM125" s="24"/>
    </row>
    <row r="126" ht="15.75" customHeight="1">
      <c r="B126" s="18"/>
      <c r="C126" s="18"/>
      <c r="D126" s="18"/>
      <c r="E126" s="18"/>
      <c r="F126" s="18"/>
      <c r="G126" s="19"/>
      <c r="H126" s="27"/>
      <c r="I126" s="27"/>
      <c r="J126" s="27"/>
      <c r="K126" s="27"/>
      <c r="L126" s="27"/>
      <c r="M126" s="21"/>
      <c r="N126" s="27"/>
      <c r="O126" s="27"/>
      <c r="P126" s="27"/>
      <c r="Q126" s="27"/>
      <c r="R126" s="27"/>
      <c r="S126" s="21"/>
      <c r="T126" s="28"/>
      <c r="U126" s="28"/>
      <c r="V126" s="28"/>
      <c r="W126" s="28"/>
      <c r="X126" s="28"/>
      <c r="Y126" s="19"/>
      <c r="Z126" s="18"/>
      <c r="AE126" s="19"/>
      <c r="AH126" s="24"/>
      <c r="AI126" s="30"/>
      <c r="AJ126" s="30"/>
      <c r="AK126" s="30"/>
      <c r="AL126" s="24"/>
      <c r="AM126" s="24"/>
    </row>
    <row r="127" ht="15.75" customHeight="1">
      <c r="B127" s="18"/>
      <c r="C127" s="18"/>
      <c r="D127" s="18"/>
      <c r="E127" s="18"/>
      <c r="F127" s="18"/>
      <c r="G127" s="19"/>
      <c r="H127" s="27"/>
      <c r="I127" s="27"/>
      <c r="J127" s="27"/>
      <c r="K127" s="27"/>
      <c r="L127" s="27"/>
      <c r="M127" s="21"/>
      <c r="N127" s="27"/>
      <c r="O127" s="27"/>
      <c r="P127" s="27"/>
      <c r="Q127" s="27"/>
      <c r="R127" s="27"/>
      <c r="S127" s="21"/>
      <c r="T127" s="28"/>
      <c r="U127" s="28"/>
      <c r="V127" s="28"/>
      <c r="W127" s="28"/>
      <c r="X127" s="28"/>
      <c r="Y127" s="19"/>
      <c r="Z127" s="18"/>
      <c r="AE127" s="19"/>
      <c r="AH127" s="24"/>
      <c r="AI127" s="30"/>
      <c r="AJ127" s="30"/>
      <c r="AK127" s="30"/>
      <c r="AL127" s="24"/>
      <c r="AM127" s="24"/>
    </row>
    <row r="128" ht="15.75" customHeight="1">
      <c r="B128" s="18"/>
      <c r="C128" s="18"/>
      <c r="D128" s="18"/>
      <c r="E128" s="18"/>
      <c r="F128" s="18"/>
      <c r="G128" s="19"/>
      <c r="H128" s="27"/>
      <c r="I128" s="27"/>
      <c r="J128" s="27"/>
      <c r="K128" s="27"/>
      <c r="L128" s="27"/>
      <c r="M128" s="21"/>
      <c r="N128" s="27"/>
      <c r="O128" s="27"/>
      <c r="P128" s="27"/>
      <c r="Q128" s="27"/>
      <c r="R128" s="27"/>
      <c r="S128" s="21"/>
      <c r="T128" s="28"/>
      <c r="U128" s="28"/>
      <c r="V128" s="28"/>
      <c r="W128" s="28"/>
      <c r="X128" s="28"/>
      <c r="Y128" s="19"/>
      <c r="Z128" s="18"/>
      <c r="AE128" s="19"/>
      <c r="AH128" s="24"/>
      <c r="AI128" s="30"/>
      <c r="AJ128" s="30"/>
      <c r="AK128" s="30"/>
      <c r="AL128" s="24"/>
      <c r="AM128" s="24"/>
    </row>
    <row r="129" ht="15.75" customHeight="1">
      <c r="B129" s="18"/>
      <c r="C129" s="18"/>
      <c r="D129" s="18"/>
      <c r="E129" s="18"/>
      <c r="F129" s="18"/>
      <c r="G129" s="19"/>
      <c r="H129" s="27"/>
      <c r="I129" s="27"/>
      <c r="J129" s="27"/>
      <c r="K129" s="27"/>
      <c r="L129" s="27"/>
      <c r="M129" s="21"/>
      <c r="N129" s="27"/>
      <c r="O129" s="27"/>
      <c r="P129" s="27"/>
      <c r="Q129" s="27"/>
      <c r="R129" s="27"/>
      <c r="S129" s="21"/>
      <c r="T129" s="28"/>
      <c r="U129" s="28"/>
      <c r="V129" s="28"/>
      <c r="W129" s="28"/>
      <c r="X129" s="28"/>
      <c r="Y129" s="19"/>
      <c r="Z129" s="18"/>
      <c r="AE129" s="19"/>
      <c r="AH129" s="24"/>
      <c r="AI129" s="30"/>
      <c r="AJ129" s="30"/>
      <c r="AK129" s="30"/>
      <c r="AL129" s="24"/>
      <c r="AM129" s="24"/>
    </row>
    <row r="130" ht="15.75" customHeight="1">
      <c r="B130" s="18"/>
      <c r="C130" s="18"/>
      <c r="D130" s="18"/>
      <c r="E130" s="18"/>
      <c r="F130" s="18"/>
      <c r="G130" s="19"/>
      <c r="H130" s="27"/>
      <c r="I130" s="27"/>
      <c r="J130" s="27"/>
      <c r="K130" s="27"/>
      <c r="L130" s="27"/>
      <c r="M130" s="21"/>
      <c r="N130" s="27"/>
      <c r="O130" s="27"/>
      <c r="P130" s="27"/>
      <c r="Q130" s="27"/>
      <c r="R130" s="27"/>
      <c r="S130" s="21"/>
      <c r="T130" s="28"/>
      <c r="U130" s="28"/>
      <c r="V130" s="28"/>
      <c r="W130" s="28"/>
      <c r="X130" s="28"/>
      <c r="Y130" s="19"/>
      <c r="Z130" s="18"/>
      <c r="AE130" s="19"/>
      <c r="AH130" s="24"/>
      <c r="AI130" s="30"/>
      <c r="AJ130" s="30"/>
      <c r="AK130" s="30"/>
      <c r="AL130" s="24"/>
      <c r="AM130" s="24"/>
    </row>
    <row r="131" ht="15.75" customHeight="1">
      <c r="B131" s="18"/>
      <c r="C131" s="18"/>
      <c r="D131" s="18"/>
      <c r="E131" s="18"/>
      <c r="F131" s="18"/>
      <c r="G131" s="19"/>
      <c r="H131" s="27"/>
      <c r="I131" s="27"/>
      <c r="J131" s="27"/>
      <c r="K131" s="27"/>
      <c r="L131" s="27"/>
      <c r="M131" s="21"/>
      <c r="N131" s="27"/>
      <c r="O131" s="27"/>
      <c r="P131" s="27"/>
      <c r="Q131" s="27"/>
      <c r="R131" s="27"/>
      <c r="S131" s="21"/>
      <c r="T131" s="28"/>
      <c r="U131" s="28"/>
      <c r="V131" s="28"/>
      <c r="W131" s="28"/>
      <c r="X131" s="28"/>
      <c r="Y131" s="19"/>
      <c r="Z131" s="18"/>
      <c r="AE131" s="19"/>
      <c r="AH131" s="24"/>
      <c r="AI131" s="30"/>
      <c r="AJ131" s="30"/>
      <c r="AK131" s="30"/>
      <c r="AL131" s="24"/>
      <c r="AM131" s="24"/>
    </row>
    <row r="132" ht="15.75" customHeight="1">
      <c r="B132" s="18"/>
      <c r="C132" s="18"/>
      <c r="D132" s="18"/>
      <c r="E132" s="18"/>
      <c r="F132" s="18"/>
      <c r="G132" s="19"/>
      <c r="H132" s="27"/>
      <c r="I132" s="27"/>
      <c r="J132" s="27"/>
      <c r="K132" s="27"/>
      <c r="L132" s="27"/>
      <c r="M132" s="21"/>
      <c r="N132" s="27"/>
      <c r="O132" s="27"/>
      <c r="P132" s="27"/>
      <c r="Q132" s="27"/>
      <c r="R132" s="27"/>
      <c r="S132" s="21"/>
      <c r="T132" s="28"/>
      <c r="U132" s="28"/>
      <c r="V132" s="28"/>
      <c r="W132" s="28"/>
      <c r="X132" s="28"/>
      <c r="Y132" s="19"/>
      <c r="Z132" s="18"/>
      <c r="AE132" s="19"/>
      <c r="AH132" s="24"/>
      <c r="AI132" s="30"/>
      <c r="AJ132" s="30"/>
      <c r="AK132" s="30"/>
      <c r="AL132" s="24"/>
      <c r="AM132" s="24"/>
    </row>
    <row r="133" ht="15.75" customHeight="1">
      <c r="B133" s="18"/>
      <c r="C133" s="18"/>
      <c r="D133" s="18"/>
      <c r="E133" s="18"/>
      <c r="F133" s="18"/>
      <c r="G133" s="19"/>
      <c r="H133" s="27"/>
      <c r="I133" s="27"/>
      <c r="J133" s="27"/>
      <c r="K133" s="27"/>
      <c r="L133" s="27"/>
      <c r="M133" s="21"/>
      <c r="N133" s="27"/>
      <c r="O133" s="27"/>
      <c r="P133" s="27"/>
      <c r="Q133" s="27"/>
      <c r="R133" s="27"/>
      <c r="S133" s="21"/>
      <c r="T133" s="28"/>
      <c r="U133" s="28"/>
      <c r="V133" s="28"/>
      <c r="W133" s="28"/>
      <c r="X133" s="28"/>
      <c r="Y133" s="19"/>
      <c r="Z133" s="18"/>
      <c r="AE133" s="19"/>
      <c r="AH133" s="24"/>
      <c r="AI133" s="30"/>
      <c r="AJ133" s="30"/>
      <c r="AK133" s="30"/>
      <c r="AL133" s="24"/>
      <c r="AM133" s="24"/>
    </row>
    <row r="134" ht="15.75" customHeight="1">
      <c r="B134" s="18"/>
      <c r="C134" s="18"/>
      <c r="D134" s="18"/>
      <c r="E134" s="18"/>
      <c r="F134" s="18"/>
      <c r="G134" s="19"/>
      <c r="H134" s="27"/>
      <c r="I134" s="27"/>
      <c r="J134" s="27"/>
      <c r="K134" s="27"/>
      <c r="L134" s="27"/>
      <c r="M134" s="21"/>
      <c r="N134" s="27"/>
      <c r="O134" s="27"/>
      <c r="P134" s="27"/>
      <c r="Q134" s="27"/>
      <c r="R134" s="27"/>
      <c r="S134" s="21"/>
      <c r="T134" s="28"/>
      <c r="U134" s="28"/>
      <c r="V134" s="28"/>
      <c r="W134" s="28"/>
      <c r="X134" s="28"/>
      <c r="Y134" s="19"/>
      <c r="Z134" s="18"/>
      <c r="AE134" s="19"/>
      <c r="AH134" s="24"/>
      <c r="AI134" s="30"/>
      <c r="AJ134" s="30"/>
      <c r="AK134" s="30"/>
      <c r="AL134" s="24"/>
      <c r="AM134" s="24"/>
    </row>
    <row r="135" ht="15.75" customHeight="1">
      <c r="B135" s="18"/>
      <c r="C135" s="18"/>
      <c r="D135" s="18"/>
      <c r="E135" s="18"/>
      <c r="F135" s="18"/>
      <c r="G135" s="19"/>
      <c r="H135" s="27"/>
      <c r="I135" s="27"/>
      <c r="J135" s="27"/>
      <c r="K135" s="27"/>
      <c r="L135" s="27"/>
      <c r="M135" s="21"/>
      <c r="N135" s="27"/>
      <c r="O135" s="27"/>
      <c r="P135" s="27"/>
      <c r="Q135" s="27"/>
      <c r="R135" s="27"/>
      <c r="S135" s="21"/>
      <c r="T135" s="28"/>
      <c r="U135" s="28"/>
      <c r="V135" s="28"/>
      <c r="W135" s="28"/>
      <c r="X135" s="28"/>
      <c r="Y135" s="19"/>
      <c r="Z135" s="18"/>
      <c r="AE135" s="19"/>
      <c r="AH135" s="24"/>
      <c r="AI135" s="30"/>
      <c r="AJ135" s="30"/>
      <c r="AK135" s="30"/>
      <c r="AL135" s="24"/>
      <c r="AM135" s="24"/>
    </row>
    <row r="136" ht="15.75" customHeight="1">
      <c r="B136" s="18"/>
      <c r="C136" s="18"/>
      <c r="D136" s="18"/>
      <c r="E136" s="18"/>
      <c r="F136" s="18"/>
      <c r="G136" s="19"/>
      <c r="H136" s="27"/>
      <c r="I136" s="27"/>
      <c r="J136" s="27"/>
      <c r="K136" s="27"/>
      <c r="L136" s="27"/>
      <c r="M136" s="21"/>
      <c r="N136" s="27"/>
      <c r="O136" s="27"/>
      <c r="P136" s="27"/>
      <c r="Q136" s="27"/>
      <c r="R136" s="27"/>
      <c r="S136" s="21"/>
      <c r="T136" s="28"/>
      <c r="U136" s="28"/>
      <c r="V136" s="28"/>
      <c r="W136" s="28"/>
      <c r="X136" s="28"/>
      <c r="Y136" s="19"/>
      <c r="Z136" s="18"/>
      <c r="AE136" s="19"/>
      <c r="AH136" s="24"/>
      <c r="AI136" s="30"/>
      <c r="AJ136" s="30"/>
      <c r="AK136" s="30"/>
      <c r="AL136" s="24"/>
      <c r="AM136" s="24"/>
    </row>
    <row r="137" ht="15.75" customHeight="1">
      <c r="B137" s="18"/>
      <c r="C137" s="18"/>
      <c r="D137" s="18"/>
      <c r="E137" s="18"/>
      <c r="F137" s="18"/>
      <c r="G137" s="19"/>
      <c r="H137" s="27"/>
      <c r="I137" s="27"/>
      <c r="J137" s="27"/>
      <c r="K137" s="27"/>
      <c r="L137" s="27"/>
      <c r="M137" s="21"/>
      <c r="N137" s="27"/>
      <c r="O137" s="27"/>
      <c r="P137" s="27"/>
      <c r="Q137" s="27"/>
      <c r="R137" s="27"/>
      <c r="S137" s="21"/>
      <c r="T137" s="28"/>
      <c r="U137" s="28"/>
      <c r="V137" s="28"/>
      <c r="W137" s="28"/>
      <c r="X137" s="28"/>
      <c r="Y137" s="19"/>
      <c r="Z137" s="18"/>
      <c r="AE137" s="19"/>
      <c r="AH137" s="24"/>
      <c r="AI137" s="30"/>
      <c r="AJ137" s="30"/>
      <c r="AK137" s="30"/>
      <c r="AL137" s="24"/>
      <c r="AM137" s="24"/>
    </row>
    <row r="138" ht="15.75" customHeight="1">
      <c r="B138" s="18"/>
      <c r="C138" s="18"/>
      <c r="D138" s="18"/>
      <c r="E138" s="18"/>
      <c r="F138" s="18"/>
      <c r="G138" s="19"/>
      <c r="H138" s="27"/>
      <c r="I138" s="27"/>
      <c r="J138" s="27"/>
      <c r="K138" s="27"/>
      <c r="L138" s="27"/>
      <c r="M138" s="21"/>
      <c r="N138" s="27"/>
      <c r="O138" s="27"/>
      <c r="P138" s="27"/>
      <c r="Q138" s="27"/>
      <c r="R138" s="27"/>
      <c r="S138" s="21"/>
      <c r="T138" s="28"/>
      <c r="U138" s="28"/>
      <c r="V138" s="28"/>
      <c r="W138" s="28"/>
      <c r="X138" s="28"/>
      <c r="Y138" s="19"/>
      <c r="Z138" s="18"/>
      <c r="AE138" s="19"/>
      <c r="AH138" s="24"/>
      <c r="AI138" s="30"/>
      <c r="AJ138" s="30"/>
      <c r="AK138" s="30"/>
      <c r="AL138" s="24"/>
      <c r="AM138" s="24"/>
    </row>
    <row r="139" ht="15.75" customHeight="1">
      <c r="B139" s="18"/>
      <c r="C139" s="18"/>
      <c r="D139" s="18"/>
      <c r="E139" s="18"/>
      <c r="F139" s="18"/>
      <c r="G139" s="19"/>
      <c r="H139" s="27"/>
      <c r="I139" s="27"/>
      <c r="J139" s="27"/>
      <c r="K139" s="27"/>
      <c r="L139" s="27"/>
      <c r="M139" s="21"/>
      <c r="N139" s="27"/>
      <c r="O139" s="27"/>
      <c r="P139" s="27"/>
      <c r="Q139" s="27"/>
      <c r="R139" s="27"/>
      <c r="S139" s="21"/>
      <c r="T139" s="28"/>
      <c r="U139" s="28"/>
      <c r="V139" s="28"/>
      <c r="W139" s="28"/>
      <c r="X139" s="28"/>
      <c r="Y139" s="19"/>
      <c r="Z139" s="18"/>
      <c r="AE139" s="19"/>
      <c r="AH139" s="24"/>
      <c r="AI139" s="30"/>
      <c r="AJ139" s="30"/>
      <c r="AK139" s="30"/>
      <c r="AL139" s="24"/>
      <c r="AM139" s="24"/>
    </row>
    <row r="140" ht="15.75" customHeight="1">
      <c r="B140" s="18"/>
      <c r="C140" s="18"/>
      <c r="D140" s="18"/>
      <c r="E140" s="18"/>
      <c r="F140" s="18"/>
      <c r="G140" s="19"/>
      <c r="H140" s="27"/>
      <c r="I140" s="27"/>
      <c r="J140" s="27"/>
      <c r="K140" s="27"/>
      <c r="L140" s="27"/>
      <c r="M140" s="21"/>
      <c r="N140" s="27"/>
      <c r="O140" s="27"/>
      <c r="P140" s="27"/>
      <c r="Q140" s="27"/>
      <c r="R140" s="27"/>
      <c r="S140" s="21"/>
      <c r="T140" s="28"/>
      <c r="U140" s="28"/>
      <c r="V140" s="28"/>
      <c r="W140" s="28"/>
      <c r="X140" s="28"/>
      <c r="Y140" s="19"/>
      <c r="Z140" s="18"/>
      <c r="AE140" s="19"/>
      <c r="AH140" s="24"/>
      <c r="AI140" s="30"/>
      <c r="AJ140" s="30"/>
      <c r="AK140" s="30"/>
      <c r="AL140" s="24"/>
      <c r="AM140" s="24"/>
    </row>
    <row r="141" ht="15.75" customHeight="1">
      <c r="B141" s="18"/>
      <c r="C141" s="18"/>
      <c r="D141" s="18"/>
      <c r="E141" s="18"/>
      <c r="F141" s="18"/>
      <c r="G141" s="19"/>
      <c r="H141" s="27"/>
      <c r="I141" s="27"/>
      <c r="J141" s="27"/>
      <c r="K141" s="27"/>
      <c r="L141" s="27"/>
      <c r="M141" s="21"/>
      <c r="N141" s="27"/>
      <c r="O141" s="27"/>
      <c r="P141" s="27"/>
      <c r="Q141" s="27"/>
      <c r="R141" s="27"/>
      <c r="S141" s="21"/>
      <c r="T141" s="28"/>
      <c r="U141" s="28"/>
      <c r="V141" s="28"/>
      <c r="W141" s="28"/>
      <c r="X141" s="28"/>
      <c r="Y141" s="19"/>
      <c r="Z141" s="18"/>
      <c r="AE141" s="19"/>
      <c r="AH141" s="24"/>
      <c r="AI141" s="30"/>
      <c r="AJ141" s="30"/>
      <c r="AK141" s="30"/>
      <c r="AL141" s="24"/>
      <c r="AM141" s="24"/>
    </row>
    <row r="142" ht="15.75" customHeight="1">
      <c r="B142" s="18"/>
      <c r="C142" s="18"/>
      <c r="D142" s="18"/>
      <c r="E142" s="18"/>
      <c r="F142" s="18"/>
      <c r="G142" s="19"/>
      <c r="H142" s="27"/>
      <c r="I142" s="27"/>
      <c r="J142" s="27"/>
      <c r="K142" s="27"/>
      <c r="L142" s="27"/>
      <c r="M142" s="21"/>
      <c r="N142" s="27"/>
      <c r="O142" s="27"/>
      <c r="P142" s="27"/>
      <c r="Q142" s="27"/>
      <c r="R142" s="27"/>
      <c r="S142" s="21"/>
      <c r="T142" s="28"/>
      <c r="U142" s="28"/>
      <c r="V142" s="28"/>
      <c r="W142" s="28"/>
      <c r="X142" s="28"/>
      <c r="Y142" s="19"/>
      <c r="Z142" s="18"/>
      <c r="AE142" s="19"/>
      <c r="AH142" s="24"/>
      <c r="AI142" s="30"/>
      <c r="AJ142" s="30"/>
      <c r="AK142" s="30"/>
      <c r="AL142" s="24"/>
      <c r="AM142" s="24"/>
    </row>
    <row r="143" ht="15.75" customHeight="1">
      <c r="B143" s="18"/>
      <c r="C143" s="18"/>
      <c r="D143" s="18"/>
      <c r="E143" s="18"/>
      <c r="F143" s="18"/>
      <c r="G143" s="19"/>
      <c r="H143" s="27"/>
      <c r="I143" s="27"/>
      <c r="J143" s="27"/>
      <c r="K143" s="27"/>
      <c r="L143" s="27"/>
      <c r="M143" s="21"/>
      <c r="N143" s="27"/>
      <c r="O143" s="27"/>
      <c r="P143" s="27"/>
      <c r="Q143" s="27"/>
      <c r="R143" s="27"/>
      <c r="S143" s="21"/>
      <c r="T143" s="28"/>
      <c r="U143" s="28"/>
      <c r="V143" s="28"/>
      <c r="W143" s="28"/>
      <c r="X143" s="28"/>
      <c r="Y143" s="19"/>
      <c r="Z143" s="18"/>
      <c r="AE143" s="19"/>
      <c r="AH143" s="24"/>
      <c r="AI143" s="30"/>
      <c r="AJ143" s="30"/>
      <c r="AK143" s="30"/>
      <c r="AL143" s="24"/>
      <c r="AM143" s="24"/>
    </row>
    <row r="144" ht="15.75" customHeight="1">
      <c r="B144" s="18"/>
      <c r="C144" s="18"/>
      <c r="D144" s="18"/>
      <c r="E144" s="18"/>
      <c r="F144" s="18"/>
      <c r="G144" s="19"/>
      <c r="H144" s="27"/>
      <c r="I144" s="27"/>
      <c r="J144" s="27"/>
      <c r="K144" s="27"/>
      <c r="L144" s="27"/>
      <c r="M144" s="21"/>
      <c r="N144" s="27"/>
      <c r="O144" s="27"/>
      <c r="P144" s="27"/>
      <c r="Q144" s="27"/>
      <c r="R144" s="27"/>
      <c r="S144" s="21"/>
      <c r="T144" s="28"/>
      <c r="U144" s="28"/>
      <c r="V144" s="28"/>
      <c r="W144" s="28"/>
      <c r="X144" s="28"/>
      <c r="Y144" s="19"/>
      <c r="Z144" s="18"/>
      <c r="AE144" s="19"/>
      <c r="AH144" s="24"/>
      <c r="AI144" s="30"/>
      <c r="AJ144" s="30"/>
      <c r="AK144" s="30"/>
      <c r="AL144" s="24"/>
      <c r="AM144" s="24"/>
    </row>
    <row r="145" ht="15.75" customHeight="1">
      <c r="B145" s="18"/>
      <c r="C145" s="18"/>
      <c r="D145" s="18"/>
      <c r="E145" s="18"/>
      <c r="F145" s="18"/>
      <c r="G145" s="19"/>
      <c r="H145" s="27"/>
      <c r="I145" s="27"/>
      <c r="J145" s="27"/>
      <c r="K145" s="27"/>
      <c r="L145" s="27"/>
      <c r="M145" s="21"/>
      <c r="N145" s="27"/>
      <c r="O145" s="27"/>
      <c r="P145" s="27"/>
      <c r="Q145" s="27"/>
      <c r="R145" s="27"/>
      <c r="S145" s="21"/>
      <c r="T145" s="28"/>
      <c r="U145" s="28"/>
      <c r="V145" s="28"/>
      <c r="W145" s="28"/>
      <c r="X145" s="28"/>
      <c r="Y145" s="19"/>
      <c r="Z145" s="18"/>
      <c r="AE145" s="19"/>
      <c r="AH145" s="24"/>
      <c r="AI145" s="30"/>
      <c r="AJ145" s="30"/>
      <c r="AK145" s="30"/>
      <c r="AL145" s="24"/>
      <c r="AM145" s="24"/>
    </row>
    <row r="146" ht="15.75" customHeight="1">
      <c r="B146" s="18"/>
      <c r="C146" s="18"/>
      <c r="D146" s="18"/>
      <c r="E146" s="18"/>
      <c r="F146" s="18"/>
      <c r="G146" s="19"/>
      <c r="H146" s="27"/>
      <c r="I146" s="27"/>
      <c r="J146" s="27"/>
      <c r="K146" s="27"/>
      <c r="L146" s="27"/>
      <c r="M146" s="21"/>
      <c r="N146" s="27"/>
      <c r="O146" s="27"/>
      <c r="P146" s="27"/>
      <c r="Q146" s="27"/>
      <c r="R146" s="27"/>
      <c r="S146" s="21"/>
      <c r="T146" s="28"/>
      <c r="U146" s="28"/>
      <c r="V146" s="28"/>
      <c r="W146" s="28"/>
      <c r="X146" s="28"/>
      <c r="Y146" s="19"/>
      <c r="Z146" s="18"/>
      <c r="AE146" s="19"/>
      <c r="AH146" s="24"/>
      <c r="AI146" s="30"/>
      <c r="AJ146" s="30"/>
      <c r="AK146" s="30"/>
      <c r="AL146" s="24"/>
      <c r="AM146" s="24"/>
    </row>
    <row r="147" ht="15.75" customHeight="1">
      <c r="B147" s="18"/>
      <c r="C147" s="18"/>
      <c r="D147" s="18"/>
      <c r="E147" s="18"/>
      <c r="F147" s="18"/>
      <c r="G147" s="19"/>
      <c r="H147" s="27"/>
      <c r="I147" s="27"/>
      <c r="J147" s="27"/>
      <c r="K147" s="27"/>
      <c r="L147" s="27"/>
      <c r="M147" s="21"/>
      <c r="N147" s="27"/>
      <c r="O147" s="27"/>
      <c r="P147" s="27"/>
      <c r="Q147" s="27"/>
      <c r="R147" s="27"/>
      <c r="S147" s="21"/>
      <c r="T147" s="28"/>
      <c r="U147" s="28"/>
      <c r="V147" s="28"/>
      <c r="W147" s="28"/>
      <c r="X147" s="28"/>
      <c r="Y147" s="19"/>
      <c r="Z147" s="18"/>
      <c r="AE147" s="19"/>
      <c r="AH147" s="24"/>
      <c r="AI147" s="30"/>
      <c r="AJ147" s="30"/>
      <c r="AK147" s="30"/>
      <c r="AL147" s="24"/>
      <c r="AM147" s="24"/>
    </row>
    <row r="148" ht="15.75" customHeight="1">
      <c r="B148" s="18"/>
      <c r="C148" s="18"/>
      <c r="D148" s="18"/>
      <c r="E148" s="18"/>
      <c r="F148" s="18"/>
      <c r="G148" s="19"/>
      <c r="H148" s="27"/>
      <c r="I148" s="27"/>
      <c r="J148" s="27"/>
      <c r="K148" s="27"/>
      <c r="L148" s="27"/>
      <c r="M148" s="21"/>
      <c r="N148" s="27"/>
      <c r="O148" s="27"/>
      <c r="P148" s="27"/>
      <c r="Q148" s="27"/>
      <c r="R148" s="27"/>
      <c r="S148" s="21"/>
      <c r="T148" s="28"/>
      <c r="U148" s="28"/>
      <c r="V148" s="28"/>
      <c r="W148" s="28"/>
      <c r="X148" s="28"/>
      <c r="Y148" s="19"/>
      <c r="Z148" s="18"/>
      <c r="AE148" s="19"/>
      <c r="AH148" s="24"/>
      <c r="AI148" s="30"/>
      <c r="AJ148" s="30"/>
      <c r="AK148" s="30"/>
      <c r="AL148" s="24"/>
      <c r="AM148" s="24"/>
    </row>
    <row r="149" ht="15.75" customHeight="1">
      <c r="B149" s="18"/>
      <c r="C149" s="18"/>
      <c r="D149" s="18"/>
      <c r="E149" s="18"/>
      <c r="F149" s="18"/>
      <c r="G149" s="19"/>
      <c r="H149" s="27"/>
      <c r="I149" s="27"/>
      <c r="J149" s="27"/>
      <c r="K149" s="27"/>
      <c r="L149" s="27"/>
      <c r="M149" s="21"/>
      <c r="N149" s="27"/>
      <c r="O149" s="27"/>
      <c r="P149" s="27"/>
      <c r="Q149" s="27"/>
      <c r="R149" s="27"/>
      <c r="S149" s="21"/>
      <c r="T149" s="28"/>
      <c r="U149" s="28"/>
      <c r="V149" s="28"/>
      <c r="W149" s="28"/>
      <c r="X149" s="28"/>
      <c r="Y149" s="19"/>
      <c r="Z149" s="18"/>
      <c r="AE149" s="19"/>
      <c r="AH149" s="24"/>
      <c r="AI149" s="30"/>
      <c r="AJ149" s="30"/>
      <c r="AK149" s="30"/>
      <c r="AL149" s="24"/>
      <c r="AM149" s="24"/>
    </row>
    <row r="150" ht="15.75" customHeight="1">
      <c r="B150" s="18"/>
      <c r="C150" s="18"/>
      <c r="D150" s="18"/>
      <c r="E150" s="18"/>
      <c r="F150" s="18"/>
      <c r="G150" s="19"/>
      <c r="H150" s="27"/>
      <c r="I150" s="27"/>
      <c r="J150" s="27"/>
      <c r="K150" s="27"/>
      <c r="L150" s="27"/>
      <c r="M150" s="21"/>
      <c r="N150" s="27"/>
      <c r="O150" s="27"/>
      <c r="P150" s="27"/>
      <c r="Q150" s="27"/>
      <c r="R150" s="27"/>
      <c r="S150" s="21"/>
      <c r="T150" s="28"/>
      <c r="U150" s="28"/>
      <c r="V150" s="28"/>
      <c r="W150" s="28"/>
      <c r="X150" s="28"/>
      <c r="Y150" s="19"/>
      <c r="Z150" s="18"/>
      <c r="AE150" s="19"/>
      <c r="AH150" s="24"/>
      <c r="AI150" s="30"/>
      <c r="AJ150" s="30"/>
      <c r="AK150" s="30"/>
      <c r="AL150" s="24"/>
      <c r="AM150" s="24"/>
    </row>
    <row r="151" ht="15.75" customHeight="1">
      <c r="B151" s="18"/>
      <c r="C151" s="18"/>
      <c r="D151" s="18"/>
      <c r="E151" s="18"/>
      <c r="F151" s="18"/>
      <c r="G151" s="19"/>
      <c r="H151" s="27"/>
      <c r="I151" s="27"/>
      <c r="J151" s="27"/>
      <c r="K151" s="27"/>
      <c r="L151" s="27"/>
      <c r="M151" s="21"/>
      <c r="N151" s="27"/>
      <c r="O151" s="27"/>
      <c r="P151" s="27"/>
      <c r="Q151" s="27"/>
      <c r="R151" s="27"/>
      <c r="S151" s="21"/>
      <c r="T151" s="28"/>
      <c r="U151" s="28"/>
      <c r="V151" s="28"/>
      <c r="W151" s="28"/>
      <c r="X151" s="28"/>
      <c r="Y151" s="19"/>
      <c r="Z151" s="18"/>
      <c r="AE151" s="19"/>
      <c r="AH151" s="24"/>
      <c r="AI151" s="30"/>
      <c r="AJ151" s="30"/>
      <c r="AK151" s="30"/>
      <c r="AL151" s="24"/>
      <c r="AM151" s="24"/>
    </row>
    <row r="152" ht="15.75" customHeight="1">
      <c r="B152" s="18"/>
      <c r="C152" s="18"/>
      <c r="D152" s="18"/>
      <c r="E152" s="18"/>
      <c r="F152" s="18"/>
      <c r="G152" s="19"/>
      <c r="H152" s="27"/>
      <c r="I152" s="27"/>
      <c r="J152" s="27"/>
      <c r="K152" s="27"/>
      <c r="L152" s="27"/>
      <c r="M152" s="21"/>
      <c r="N152" s="27"/>
      <c r="O152" s="27"/>
      <c r="P152" s="27"/>
      <c r="Q152" s="27"/>
      <c r="R152" s="27"/>
      <c r="S152" s="21"/>
      <c r="T152" s="28"/>
      <c r="U152" s="28"/>
      <c r="V152" s="28"/>
      <c r="W152" s="28"/>
      <c r="X152" s="28"/>
      <c r="Y152" s="19"/>
      <c r="Z152" s="18"/>
      <c r="AE152" s="19"/>
      <c r="AH152" s="24"/>
      <c r="AI152" s="30"/>
      <c r="AJ152" s="30"/>
      <c r="AK152" s="30"/>
      <c r="AL152" s="24"/>
      <c r="AM152" s="24"/>
    </row>
    <row r="153" ht="15.75" customHeight="1">
      <c r="B153" s="18"/>
      <c r="C153" s="18"/>
      <c r="D153" s="18"/>
      <c r="E153" s="18"/>
      <c r="F153" s="18"/>
      <c r="G153" s="19"/>
      <c r="H153" s="27"/>
      <c r="I153" s="27"/>
      <c r="J153" s="27"/>
      <c r="K153" s="27"/>
      <c r="L153" s="27"/>
      <c r="M153" s="21"/>
      <c r="N153" s="27"/>
      <c r="O153" s="27"/>
      <c r="P153" s="27"/>
      <c r="Q153" s="27"/>
      <c r="R153" s="27"/>
      <c r="S153" s="21"/>
      <c r="T153" s="28"/>
      <c r="U153" s="28"/>
      <c r="V153" s="28"/>
      <c r="W153" s="28"/>
      <c r="X153" s="28"/>
      <c r="Y153" s="19"/>
      <c r="Z153" s="18"/>
      <c r="AE153" s="19"/>
      <c r="AH153" s="24"/>
      <c r="AI153" s="30"/>
      <c r="AJ153" s="30"/>
      <c r="AK153" s="30"/>
      <c r="AL153" s="24"/>
      <c r="AM153" s="24"/>
    </row>
    <row r="154" ht="15.75" customHeight="1">
      <c r="B154" s="18"/>
      <c r="C154" s="18"/>
      <c r="D154" s="18"/>
      <c r="E154" s="18"/>
      <c r="F154" s="18"/>
      <c r="G154" s="19"/>
      <c r="H154" s="27"/>
      <c r="I154" s="27"/>
      <c r="J154" s="27"/>
      <c r="K154" s="27"/>
      <c r="L154" s="27"/>
      <c r="M154" s="21"/>
      <c r="N154" s="27"/>
      <c r="O154" s="27"/>
      <c r="P154" s="27"/>
      <c r="Q154" s="27"/>
      <c r="R154" s="27"/>
      <c r="S154" s="21"/>
      <c r="T154" s="28"/>
      <c r="U154" s="28"/>
      <c r="V154" s="28"/>
      <c r="W154" s="28"/>
      <c r="X154" s="28"/>
      <c r="Y154" s="19"/>
      <c r="Z154" s="18"/>
      <c r="AE154" s="19"/>
      <c r="AH154" s="24"/>
      <c r="AI154" s="30"/>
      <c r="AJ154" s="30"/>
      <c r="AK154" s="30"/>
      <c r="AL154" s="24"/>
      <c r="AM154" s="24"/>
    </row>
    <row r="155" ht="15.75" customHeight="1">
      <c r="B155" s="18"/>
      <c r="C155" s="18"/>
      <c r="D155" s="18"/>
      <c r="E155" s="18"/>
      <c r="F155" s="18"/>
      <c r="G155" s="19"/>
      <c r="H155" s="27"/>
      <c r="I155" s="27"/>
      <c r="J155" s="27"/>
      <c r="K155" s="27"/>
      <c r="L155" s="27"/>
      <c r="M155" s="21"/>
      <c r="N155" s="27"/>
      <c r="O155" s="27"/>
      <c r="P155" s="27"/>
      <c r="Q155" s="27"/>
      <c r="R155" s="27"/>
      <c r="S155" s="21"/>
      <c r="T155" s="28"/>
      <c r="U155" s="28"/>
      <c r="V155" s="28"/>
      <c r="W155" s="28"/>
      <c r="X155" s="28"/>
      <c r="Y155" s="19"/>
      <c r="Z155" s="18"/>
      <c r="AE155" s="19"/>
      <c r="AH155" s="24"/>
      <c r="AI155" s="30"/>
      <c r="AJ155" s="30"/>
      <c r="AK155" s="30"/>
      <c r="AL155" s="24"/>
      <c r="AM155" s="24"/>
    </row>
    <row r="156" ht="15.75" customHeight="1">
      <c r="B156" s="18"/>
      <c r="C156" s="18"/>
      <c r="D156" s="18"/>
      <c r="E156" s="18"/>
      <c r="F156" s="18"/>
      <c r="G156" s="19"/>
      <c r="H156" s="27"/>
      <c r="I156" s="27"/>
      <c r="J156" s="27"/>
      <c r="K156" s="27"/>
      <c r="L156" s="27"/>
      <c r="M156" s="21"/>
      <c r="N156" s="27"/>
      <c r="O156" s="27"/>
      <c r="P156" s="27"/>
      <c r="Q156" s="27"/>
      <c r="R156" s="27"/>
      <c r="S156" s="21"/>
      <c r="T156" s="28"/>
      <c r="U156" s="28"/>
      <c r="V156" s="28"/>
      <c r="W156" s="28"/>
      <c r="X156" s="28"/>
      <c r="Y156" s="19"/>
      <c r="Z156" s="18"/>
      <c r="AE156" s="19"/>
      <c r="AH156" s="24"/>
      <c r="AI156" s="30"/>
      <c r="AJ156" s="30"/>
      <c r="AK156" s="30"/>
      <c r="AL156" s="24"/>
      <c r="AM156" s="24"/>
    </row>
    <row r="157" ht="15.75" customHeight="1">
      <c r="B157" s="18"/>
      <c r="C157" s="18"/>
      <c r="D157" s="18"/>
      <c r="E157" s="18"/>
      <c r="F157" s="18"/>
      <c r="G157" s="19"/>
      <c r="H157" s="27"/>
      <c r="I157" s="27"/>
      <c r="J157" s="27"/>
      <c r="K157" s="27"/>
      <c r="L157" s="27"/>
      <c r="M157" s="21"/>
      <c r="N157" s="27"/>
      <c r="O157" s="27"/>
      <c r="P157" s="27"/>
      <c r="Q157" s="27"/>
      <c r="R157" s="27"/>
      <c r="S157" s="21"/>
      <c r="T157" s="28"/>
      <c r="U157" s="28"/>
      <c r="V157" s="28"/>
      <c r="W157" s="28"/>
      <c r="X157" s="28"/>
      <c r="Y157" s="19"/>
      <c r="Z157" s="18"/>
      <c r="AE157" s="19"/>
      <c r="AH157" s="24"/>
      <c r="AI157" s="30"/>
      <c r="AJ157" s="30"/>
      <c r="AK157" s="30"/>
      <c r="AL157" s="24"/>
      <c r="AM157" s="24"/>
    </row>
    <row r="158" ht="15.75" customHeight="1">
      <c r="B158" s="18"/>
      <c r="C158" s="18"/>
      <c r="D158" s="18"/>
      <c r="E158" s="18"/>
      <c r="F158" s="18"/>
      <c r="G158" s="19"/>
      <c r="H158" s="27"/>
      <c r="I158" s="27"/>
      <c r="J158" s="27"/>
      <c r="K158" s="27"/>
      <c r="L158" s="27"/>
      <c r="M158" s="21"/>
      <c r="N158" s="27"/>
      <c r="O158" s="27"/>
      <c r="P158" s="27"/>
      <c r="Q158" s="27"/>
      <c r="R158" s="27"/>
      <c r="S158" s="21"/>
      <c r="T158" s="28"/>
      <c r="U158" s="28"/>
      <c r="V158" s="28"/>
      <c r="W158" s="28"/>
      <c r="X158" s="28"/>
      <c r="Y158" s="19"/>
      <c r="Z158" s="18"/>
      <c r="AE158" s="19"/>
      <c r="AH158" s="24"/>
      <c r="AI158" s="30"/>
      <c r="AJ158" s="30"/>
      <c r="AK158" s="30"/>
      <c r="AL158" s="24"/>
      <c r="AM158" s="24"/>
    </row>
    <row r="159" ht="15.75" customHeight="1">
      <c r="B159" s="18"/>
      <c r="C159" s="18"/>
      <c r="D159" s="18"/>
      <c r="E159" s="18"/>
      <c r="F159" s="18"/>
      <c r="G159" s="19"/>
      <c r="H159" s="27"/>
      <c r="I159" s="27"/>
      <c r="J159" s="27"/>
      <c r="K159" s="27"/>
      <c r="L159" s="27"/>
      <c r="M159" s="21"/>
      <c r="N159" s="27"/>
      <c r="O159" s="27"/>
      <c r="P159" s="27"/>
      <c r="Q159" s="27"/>
      <c r="R159" s="27"/>
      <c r="S159" s="21"/>
      <c r="T159" s="28"/>
      <c r="U159" s="28"/>
      <c r="V159" s="28"/>
      <c r="W159" s="28"/>
      <c r="X159" s="28"/>
      <c r="Y159" s="19"/>
      <c r="Z159" s="18"/>
      <c r="AE159" s="19"/>
      <c r="AH159" s="24"/>
      <c r="AI159" s="30"/>
      <c r="AJ159" s="30"/>
      <c r="AK159" s="30"/>
      <c r="AL159" s="24"/>
      <c r="AM159" s="24"/>
    </row>
    <row r="160" ht="15.75" customHeight="1">
      <c r="B160" s="18"/>
      <c r="C160" s="18"/>
      <c r="D160" s="18"/>
      <c r="E160" s="18"/>
      <c r="F160" s="18"/>
      <c r="G160" s="19"/>
      <c r="H160" s="27"/>
      <c r="I160" s="27"/>
      <c r="J160" s="27"/>
      <c r="K160" s="27"/>
      <c r="L160" s="27"/>
      <c r="M160" s="21"/>
      <c r="N160" s="27"/>
      <c r="O160" s="27"/>
      <c r="P160" s="27"/>
      <c r="Q160" s="27"/>
      <c r="R160" s="27"/>
      <c r="S160" s="21"/>
      <c r="T160" s="28"/>
      <c r="U160" s="28"/>
      <c r="V160" s="28"/>
      <c r="W160" s="28"/>
      <c r="X160" s="28"/>
      <c r="Y160" s="19"/>
      <c r="Z160" s="18"/>
      <c r="AE160" s="19"/>
      <c r="AH160" s="24"/>
      <c r="AI160" s="30"/>
      <c r="AJ160" s="30"/>
      <c r="AK160" s="30"/>
      <c r="AL160" s="24"/>
      <c r="AM160" s="24"/>
    </row>
    <row r="161" ht="15.75" customHeight="1">
      <c r="B161" s="18"/>
      <c r="C161" s="18"/>
      <c r="D161" s="18"/>
      <c r="E161" s="18"/>
      <c r="F161" s="18"/>
      <c r="G161" s="19"/>
      <c r="H161" s="27"/>
      <c r="I161" s="27"/>
      <c r="J161" s="27"/>
      <c r="K161" s="27"/>
      <c r="L161" s="27"/>
      <c r="M161" s="21"/>
      <c r="N161" s="27"/>
      <c r="O161" s="27"/>
      <c r="P161" s="27"/>
      <c r="Q161" s="27"/>
      <c r="R161" s="27"/>
      <c r="S161" s="21"/>
      <c r="T161" s="28"/>
      <c r="U161" s="28"/>
      <c r="V161" s="28"/>
      <c r="W161" s="28"/>
      <c r="X161" s="28"/>
      <c r="Y161" s="19"/>
      <c r="Z161" s="18"/>
      <c r="AE161" s="19"/>
      <c r="AH161" s="24"/>
      <c r="AI161" s="30"/>
      <c r="AJ161" s="30"/>
      <c r="AK161" s="30"/>
      <c r="AL161" s="24"/>
      <c r="AM161" s="24"/>
    </row>
    <row r="162" ht="15.75" customHeight="1">
      <c r="B162" s="18"/>
      <c r="C162" s="18"/>
      <c r="D162" s="18"/>
      <c r="E162" s="18"/>
      <c r="F162" s="18"/>
      <c r="G162" s="19"/>
      <c r="H162" s="27"/>
      <c r="I162" s="27"/>
      <c r="J162" s="27"/>
      <c r="K162" s="27"/>
      <c r="L162" s="27"/>
      <c r="M162" s="21"/>
      <c r="N162" s="27"/>
      <c r="O162" s="27"/>
      <c r="P162" s="27"/>
      <c r="Q162" s="27"/>
      <c r="R162" s="27"/>
      <c r="S162" s="21"/>
      <c r="T162" s="28"/>
      <c r="U162" s="28"/>
      <c r="V162" s="28"/>
      <c r="W162" s="28"/>
      <c r="X162" s="28"/>
      <c r="Y162" s="19"/>
      <c r="Z162" s="18"/>
      <c r="AE162" s="19"/>
      <c r="AH162" s="24"/>
      <c r="AI162" s="30"/>
      <c r="AJ162" s="30"/>
      <c r="AK162" s="30"/>
      <c r="AL162" s="24"/>
      <c r="AM162" s="24"/>
    </row>
    <row r="163" ht="15.75" customHeight="1">
      <c r="B163" s="18"/>
      <c r="C163" s="18"/>
      <c r="D163" s="18"/>
      <c r="E163" s="18"/>
      <c r="F163" s="18"/>
      <c r="G163" s="19"/>
      <c r="H163" s="27"/>
      <c r="I163" s="27"/>
      <c r="J163" s="27"/>
      <c r="K163" s="27"/>
      <c r="L163" s="27"/>
      <c r="M163" s="21"/>
      <c r="N163" s="27"/>
      <c r="O163" s="27"/>
      <c r="P163" s="27"/>
      <c r="Q163" s="27"/>
      <c r="R163" s="27"/>
      <c r="S163" s="21"/>
      <c r="T163" s="28"/>
      <c r="U163" s="28"/>
      <c r="V163" s="28"/>
      <c r="W163" s="28"/>
      <c r="X163" s="28"/>
      <c r="Y163" s="19"/>
      <c r="Z163" s="18"/>
      <c r="AE163" s="19"/>
      <c r="AH163" s="24"/>
      <c r="AI163" s="30"/>
      <c r="AJ163" s="30"/>
      <c r="AK163" s="30"/>
      <c r="AL163" s="24"/>
      <c r="AM163" s="24"/>
    </row>
    <row r="164" ht="15.75" customHeight="1">
      <c r="B164" s="18"/>
      <c r="C164" s="18"/>
      <c r="D164" s="18"/>
      <c r="E164" s="18"/>
      <c r="F164" s="18"/>
      <c r="G164" s="19"/>
      <c r="H164" s="27"/>
      <c r="I164" s="27"/>
      <c r="J164" s="27"/>
      <c r="K164" s="27"/>
      <c r="L164" s="27"/>
      <c r="M164" s="21"/>
      <c r="N164" s="27"/>
      <c r="O164" s="27"/>
      <c r="P164" s="27"/>
      <c r="Q164" s="27"/>
      <c r="R164" s="27"/>
      <c r="S164" s="21"/>
      <c r="T164" s="28"/>
      <c r="U164" s="28"/>
      <c r="V164" s="28"/>
      <c r="W164" s="28"/>
      <c r="X164" s="28"/>
      <c r="Y164" s="19"/>
      <c r="Z164" s="18"/>
      <c r="AE164" s="19"/>
      <c r="AH164" s="24"/>
      <c r="AI164" s="30"/>
      <c r="AJ164" s="30"/>
      <c r="AK164" s="30"/>
      <c r="AL164" s="24"/>
      <c r="AM164" s="24"/>
    </row>
    <row r="165" ht="15.75" customHeight="1">
      <c r="B165" s="18"/>
      <c r="C165" s="18"/>
      <c r="D165" s="18"/>
      <c r="E165" s="18"/>
      <c r="F165" s="18"/>
      <c r="G165" s="19"/>
      <c r="H165" s="27"/>
      <c r="I165" s="27"/>
      <c r="J165" s="27"/>
      <c r="K165" s="27"/>
      <c r="L165" s="27"/>
      <c r="M165" s="21"/>
      <c r="N165" s="27"/>
      <c r="O165" s="27"/>
      <c r="P165" s="27"/>
      <c r="Q165" s="27"/>
      <c r="R165" s="27"/>
      <c r="S165" s="21"/>
      <c r="T165" s="28"/>
      <c r="U165" s="28"/>
      <c r="V165" s="28"/>
      <c r="W165" s="28"/>
      <c r="X165" s="28"/>
      <c r="Y165" s="19"/>
      <c r="Z165" s="18"/>
      <c r="AE165" s="19"/>
      <c r="AH165" s="24"/>
      <c r="AI165" s="30"/>
      <c r="AJ165" s="30"/>
      <c r="AK165" s="30"/>
      <c r="AL165" s="24"/>
      <c r="AM165" s="24"/>
    </row>
    <row r="166" ht="15.75" customHeight="1">
      <c r="B166" s="18"/>
      <c r="C166" s="18"/>
      <c r="D166" s="18"/>
      <c r="E166" s="18"/>
      <c r="F166" s="18"/>
      <c r="G166" s="19"/>
      <c r="H166" s="27"/>
      <c r="I166" s="27"/>
      <c r="J166" s="27"/>
      <c r="K166" s="27"/>
      <c r="L166" s="27"/>
      <c r="M166" s="21"/>
      <c r="N166" s="27"/>
      <c r="O166" s="27"/>
      <c r="P166" s="27"/>
      <c r="Q166" s="27"/>
      <c r="R166" s="27"/>
      <c r="S166" s="21"/>
      <c r="T166" s="28"/>
      <c r="U166" s="28"/>
      <c r="V166" s="28"/>
      <c r="W166" s="28"/>
      <c r="X166" s="28"/>
      <c r="Y166" s="19"/>
      <c r="Z166" s="18"/>
      <c r="AE166" s="19"/>
      <c r="AH166" s="24"/>
      <c r="AI166" s="30"/>
      <c r="AJ166" s="30"/>
      <c r="AK166" s="30"/>
      <c r="AL166" s="24"/>
      <c r="AM166" s="24"/>
    </row>
    <row r="167" ht="15.75" customHeight="1">
      <c r="B167" s="18"/>
      <c r="C167" s="18"/>
      <c r="D167" s="18"/>
      <c r="E167" s="18"/>
      <c r="F167" s="18"/>
      <c r="G167" s="19"/>
      <c r="H167" s="27"/>
      <c r="I167" s="27"/>
      <c r="J167" s="27"/>
      <c r="K167" s="27"/>
      <c r="L167" s="27"/>
      <c r="M167" s="21"/>
      <c r="N167" s="27"/>
      <c r="O167" s="27"/>
      <c r="P167" s="27"/>
      <c r="Q167" s="27"/>
      <c r="R167" s="27"/>
      <c r="S167" s="21"/>
      <c r="T167" s="28"/>
      <c r="U167" s="28"/>
      <c r="V167" s="28"/>
      <c r="W167" s="28"/>
      <c r="X167" s="28"/>
      <c r="Y167" s="19"/>
      <c r="Z167" s="18"/>
      <c r="AE167" s="19"/>
      <c r="AH167" s="24"/>
      <c r="AI167" s="30"/>
      <c r="AJ167" s="30"/>
      <c r="AK167" s="30"/>
      <c r="AL167" s="24"/>
      <c r="AM167" s="24"/>
    </row>
    <row r="168" ht="15.75" customHeight="1">
      <c r="B168" s="18"/>
      <c r="C168" s="18"/>
      <c r="D168" s="18"/>
      <c r="E168" s="18"/>
      <c r="F168" s="18"/>
      <c r="G168" s="19"/>
      <c r="H168" s="27"/>
      <c r="I168" s="27"/>
      <c r="J168" s="27"/>
      <c r="K168" s="27"/>
      <c r="L168" s="27"/>
      <c r="M168" s="21"/>
      <c r="N168" s="27"/>
      <c r="O168" s="27"/>
      <c r="P168" s="27"/>
      <c r="Q168" s="27"/>
      <c r="R168" s="27"/>
      <c r="S168" s="21"/>
      <c r="T168" s="28"/>
      <c r="U168" s="28"/>
      <c r="V168" s="28"/>
      <c r="W168" s="28"/>
      <c r="X168" s="28"/>
      <c r="Y168" s="19"/>
      <c r="Z168" s="18"/>
      <c r="AE168" s="19"/>
      <c r="AH168" s="24"/>
      <c r="AI168" s="30"/>
      <c r="AJ168" s="30"/>
      <c r="AK168" s="30"/>
      <c r="AL168" s="24"/>
      <c r="AM168" s="24"/>
    </row>
    <row r="169" ht="15.75" customHeight="1">
      <c r="B169" s="18"/>
      <c r="C169" s="18"/>
      <c r="D169" s="18"/>
      <c r="E169" s="18"/>
      <c r="F169" s="18"/>
      <c r="G169" s="19"/>
      <c r="H169" s="27"/>
      <c r="I169" s="27"/>
      <c r="J169" s="27"/>
      <c r="K169" s="27"/>
      <c r="L169" s="27"/>
      <c r="M169" s="21"/>
      <c r="N169" s="27"/>
      <c r="O169" s="27"/>
      <c r="P169" s="27"/>
      <c r="Q169" s="27"/>
      <c r="R169" s="27"/>
      <c r="S169" s="21"/>
      <c r="T169" s="28"/>
      <c r="U169" s="28"/>
      <c r="V169" s="28"/>
      <c r="W169" s="28"/>
      <c r="X169" s="28"/>
      <c r="Y169" s="19"/>
      <c r="Z169" s="18"/>
      <c r="AE169" s="19"/>
      <c r="AH169" s="24"/>
      <c r="AI169" s="30"/>
      <c r="AJ169" s="30"/>
      <c r="AK169" s="30"/>
      <c r="AL169" s="24"/>
      <c r="AM169" s="24"/>
    </row>
    <row r="170" ht="15.75" customHeight="1">
      <c r="B170" s="18"/>
      <c r="C170" s="18"/>
      <c r="D170" s="18"/>
      <c r="E170" s="18"/>
      <c r="F170" s="18"/>
      <c r="G170" s="19"/>
      <c r="H170" s="27"/>
      <c r="I170" s="27"/>
      <c r="J170" s="27"/>
      <c r="K170" s="27"/>
      <c r="L170" s="27"/>
      <c r="M170" s="21"/>
      <c r="N170" s="27"/>
      <c r="O170" s="27"/>
      <c r="P170" s="27"/>
      <c r="Q170" s="27"/>
      <c r="R170" s="27"/>
      <c r="S170" s="21"/>
      <c r="T170" s="28"/>
      <c r="U170" s="28"/>
      <c r="V170" s="28"/>
      <c r="W170" s="28"/>
      <c r="X170" s="28"/>
      <c r="Y170" s="19"/>
      <c r="Z170" s="18"/>
      <c r="AE170" s="19"/>
      <c r="AH170" s="24"/>
      <c r="AI170" s="30"/>
      <c r="AJ170" s="30"/>
      <c r="AK170" s="30"/>
      <c r="AL170" s="24"/>
      <c r="AM170" s="24"/>
    </row>
    <row r="171" ht="15.75" customHeight="1">
      <c r="B171" s="18"/>
      <c r="C171" s="18"/>
      <c r="D171" s="18"/>
      <c r="E171" s="18"/>
      <c r="F171" s="18"/>
      <c r="G171" s="19"/>
      <c r="H171" s="27"/>
      <c r="I171" s="27"/>
      <c r="J171" s="27"/>
      <c r="K171" s="27"/>
      <c r="L171" s="27"/>
      <c r="M171" s="21"/>
      <c r="N171" s="27"/>
      <c r="O171" s="27"/>
      <c r="P171" s="27"/>
      <c r="Q171" s="27"/>
      <c r="R171" s="27"/>
      <c r="S171" s="21"/>
      <c r="T171" s="28"/>
      <c r="U171" s="28"/>
      <c r="V171" s="28"/>
      <c r="W171" s="28"/>
      <c r="X171" s="28"/>
      <c r="Y171" s="19"/>
      <c r="Z171" s="18"/>
      <c r="AE171" s="19"/>
      <c r="AH171" s="24"/>
      <c r="AI171" s="30"/>
      <c r="AJ171" s="30"/>
      <c r="AK171" s="30"/>
      <c r="AL171" s="24"/>
      <c r="AM171" s="24"/>
    </row>
    <row r="172" ht="15.75" customHeight="1">
      <c r="B172" s="18"/>
      <c r="C172" s="18"/>
      <c r="D172" s="18"/>
      <c r="E172" s="18"/>
      <c r="F172" s="18"/>
      <c r="G172" s="19"/>
      <c r="H172" s="27"/>
      <c r="I172" s="27"/>
      <c r="J172" s="27"/>
      <c r="K172" s="27"/>
      <c r="L172" s="27"/>
      <c r="M172" s="21"/>
      <c r="N172" s="27"/>
      <c r="O172" s="27"/>
      <c r="P172" s="27"/>
      <c r="Q172" s="27"/>
      <c r="R172" s="27"/>
      <c r="S172" s="21"/>
      <c r="T172" s="28"/>
      <c r="U172" s="28"/>
      <c r="V172" s="28"/>
      <c r="W172" s="28"/>
      <c r="X172" s="28"/>
      <c r="Y172" s="19"/>
      <c r="Z172" s="18"/>
      <c r="AE172" s="19"/>
      <c r="AH172" s="24"/>
      <c r="AI172" s="30"/>
      <c r="AJ172" s="30"/>
      <c r="AK172" s="30"/>
      <c r="AL172" s="24"/>
      <c r="AM172" s="24"/>
    </row>
    <row r="173" ht="15.75" customHeight="1">
      <c r="B173" s="18"/>
      <c r="C173" s="18"/>
      <c r="D173" s="18"/>
      <c r="E173" s="18"/>
      <c r="F173" s="18"/>
      <c r="G173" s="19"/>
      <c r="H173" s="27"/>
      <c r="I173" s="27"/>
      <c r="J173" s="27"/>
      <c r="K173" s="27"/>
      <c r="L173" s="27"/>
      <c r="M173" s="21"/>
      <c r="N173" s="27"/>
      <c r="O173" s="27"/>
      <c r="P173" s="27"/>
      <c r="Q173" s="27"/>
      <c r="R173" s="27"/>
      <c r="S173" s="21"/>
      <c r="T173" s="28"/>
      <c r="U173" s="28"/>
      <c r="V173" s="28"/>
      <c r="W173" s="28"/>
      <c r="X173" s="28"/>
      <c r="Y173" s="19"/>
      <c r="Z173" s="18"/>
      <c r="AE173" s="19"/>
      <c r="AH173" s="24"/>
      <c r="AI173" s="30"/>
      <c r="AJ173" s="30"/>
      <c r="AK173" s="30"/>
      <c r="AL173" s="24"/>
      <c r="AM173" s="24"/>
    </row>
    <row r="174" ht="15.75" customHeight="1">
      <c r="B174" s="18"/>
      <c r="C174" s="18"/>
      <c r="D174" s="18"/>
      <c r="E174" s="18"/>
      <c r="F174" s="18"/>
      <c r="G174" s="19"/>
      <c r="H174" s="27"/>
      <c r="I174" s="27"/>
      <c r="J174" s="27"/>
      <c r="K174" s="27"/>
      <c r="L174" s="27"/>
      <c r="M174" s="21"/>
      <c r="N174" s="27"/>
      <c r="O174" s="27"/>
      <c r="P174" s="27"/>
      <c r="Q174" s="27"/>
      <c r="R174" s="27"/>
      <c r="S174" s="21"/>
      <c r="T174" s="28"/>
      <c r="U174" s="28"/>
      <c r="V174" s="28"/>
      <c r="W174" s="28"/>
      <c r="X174" s="28"/>
      <c r="Y174" s="19"/>
      <c r="Z174" s="18"/>
      <c r="AE174" s="19"/>
      <c r="AH174" s="24"/>
      <c r="AI174" s="30"/>
      <c r="AJ174" s="30"/>
      <c r="AK174" s="30"/>
      <c r="AL174" s="24"/>
      <c r="AM174" s="24"/>
    </row>
    <row r="175" ht="15.75" customHeight="1">
      <c r="B175" s="18"/>
      <c r="C175" s="18"/>
      <c r="D175" s="18"/>
      <c r="E175" s="18"/>
      <c r="F175" s="18"/>
      <c r="G175" s="19"/>
      <c r="H175" s="27"/>
      <c r="I175" s="27"/>
      <c r="J175" s="27"/>
      <c r="K175" s="27"/>
      <c r="L175" s="27"/>
      <c r="M175" s="21"/>
      <c r="N175" s="27"/>
      <c r="O175" s="27"/>
      <c r="P175" s="27"/>
      <c r="Q175" s="27"/>
      <c r="R175" s="27"/>
      <c r="S175" s="21"/>
      <c r="T175" s="28"/>
      <c r="U175" s="28"/>
      <c r="V175" s="28"/>
      <c r="W175" s="28"/>
      <c r="X175" s="28"/>
      <c r="Y175" s="19"/>
      <c r="Z175" s="18"/>
      <c r="AE175" s="19"/>
      <c r="AH175" s="24"/>
      <c r="AI175" s="30"/>
      <c r="AJ175" s="30"/>
      <c r="AK175" s="30"/>
      <c r="AL175" s="24"/>
      <c r="AM175" s="24"/>
    </row>
    <row r="176" ht="15.75" customHeight="1">
      <c r="B176" s="18"/>
      <c r="C176" s="18"/>
      <c r="D176" s="18"/>
      <c r="E176" s="18"/>
      <c r="F176" s="18"/>
      <c r="G176" s="19"/>
      <c r="H176" s="27"/>
      <c r="I176" s="27"/>
      <c r="J176" s="27"/>
      <c r="K176" s="27"/>
      <c r="L176" s="27"/>
      <c r="M176" s="21"/>
      <c r="N176" s="27"/>
      <c r="O176" s="27"/>
      <c r="P176" s="27"/>
      <c r="Q176" s="27"/>
      <c r="R176" s="27"/>
      <c r="S176" s="21"/>
      <c r="T176" s="28"/>
      <c r="U176" s="28"/>
      <c r="V176" s="28"/>
      <c r="W176" s="28"/>
      <c r="X176" s="28"/>
      <c r="Y176" s="19"/>
      <c r="Z176" s="18"/>
      <c r="AE176" s="19"/>
      <c r="AH176" s="24"/>
      <c r="AI176" s="30"/>
      <c r="AJ176" s="30"/>
      <c r="AK176" s="30"/>
      <c r="AL176" s="24"/>
      <c r="AM176" s="24"/>
    </row>
    <row r="177" ht="15.75" customHeight="1">
      <c r="B177" s="18"/>
      <c r="C177" s="18"/>
      <c r="D177" s="18"/>
      <c r="E177" s="18"/>
      <c r="F177" s="18"/>
      <c r="G177" s="19"/>
      <c r="H177" s="27"/>
      <c r="I177" s="27"/>
      <c r="J177" s="27"/>
      <c r="K177" s="27"/>
      <c r="L177" s="27"/>
      <c r="M177" s="21"/>
      <c r="N177" s="27"/>
      <c r="O177" s="27"/>
      <c r="P177" s="27"/>
      <c r="Q177" s="27"/>
      <c r="R177" s="27"/>
      <c r="S177" s="21"/>
      <c r="T177" s="28"/>
      <c r="U177" s="28"/>
      <c r="V177" s="28"/>
      <c r="W177" s="28"/>
      <c r="X177" s="28"/>
      <c r="Y177" s="19"/>
      <c r="Z177" s="18"/>
      <c r="AE177" s="19"/>
      <c r="AH177" s="24"/>
      <c r="AI177" s="30"/>
      <c r="AJ177" s="30"/>
      <c r="AK177" s="30"/>
      <c r="AL177" s="24"/>
      <c r="AM177" s="24"/>
    </row>
    <row r="178" ht="15.75" customHeight="1">
      <c r="B178" s="18"/>
      <c r="C178" s="18"/>
      <c r="D178" s="18"/>
      <c r="E178" s="18"/>
      <c r="F178" s="18"/>
      <c r="G178" s="19"/>
      <c r="H178" s="27"/>
      <c r="I178" s="27"/>
      <c r="J178" s="27"/>
      <c r="K178" s="27"/>
      <c r="L178" s="27"/>
      <c r="M178" s="21"/>
      <c r="N178" s="27"/>
      <c r="O178" s="27"/>
      <c r="P178" s="27"/>
      <c r="Q178" s="27"/>
      <c r="R178" s="27"/>
      <c r="S178" s="21"/>
      <c r="T178" s="28"/>
      <c r="U178" s="28"/>
      <c r="V178" s="28"/>
      <c r="W178" s="28"/>
      <c r="X178" s="28"/>
      <c r="Y178" s="19"/>
      <c r="Z178" s="18"/>
      <c r="AE178" s="19"/>
      <c r="AH178" s="24"/>
      <c r="AI178" s="30"/>
      <c r="AJ178" s="30"/>
      <c r="AK178" s="30"/>
      <c r="AL178" s="24"/>
      <c r="AM178" s="24"/>
    </row>
    <row r="179" ht="15.75" customHeight="1">
      <c r="B179" s="18"/>
      <c r="C179" s="18"/>
      <c r="D179" s="18"/>
      <c r="E179" s="18"/>
      <c r="F179" s="18"/>
      <c r="G179" s="19"/>
      <c r="H179" s="27"/>
      <c r="I179" s="27"/>
      <c r="J179" s="27"/>
      <c r="K179" s="27"/>
      <c r="L179" s="27"/>
      <c r="M179" s="21"/>
      <c r="N179" s="27"/>
      <c r="O179" s="27"/>
      <c r="P179" s="27"/>
      <c r="Q179" s="27"/>
      <c r="R179" s="27"/>
      <c r="S179" s="21"/>
      <c r="T179" s="28"/>
      <c r="U179" s="28"/>
      <c r="V179" s="28"/>
      <c r="W179" s="28"/>
      <c r="X179" s="28"/>
      <c r="Y179" s="19"/>
      <c r="Z179" s="18"/>
      <c r="AE179" s="19"/>
      <c r="AH179" s="24"/>
      <c r="AI179" s="30"/>
      <c r="AJ179" s="30"/>
      <c r="AK179" s="30"/>
      <c r="AL179" s="24"/>
      <c r="AM179" s="24"/>
    </row>
    <row r="180" ht="15.75" customHeight="1">
      <c r="B180" s="18"/>
      <c r="C180" s="18"/>
      <c r="D180" s="18"/>
      <c r="E180" s="18"/>
      <c r="F180" s="18"/>
      <c r="G180" s="19"/>
      <c r="H180" s="27"/>
      <c r="I180" s="27"/>
      <c r="J180" s="27"/>
      <c r="K180" s="27"/>
      <c r="L180" s="27"/>
      <c r="M180" s="21"/>
      <c r="N180" s="27"/>
      <c r="O180" s="27"/>
      <c r="P180" s="27"/>
      <c r="Q180" s="27"/>
      <c r="R180" s="27"/>
      <c r="S180" s="21"/>
      <c r="T180" s="28"/>
      <c r="U180" s="28"/>
      <c r="V180" s="28"/>
      <c r="W180" s="28"/>
      <c r="X180" s="28"/>
      <c r="Y180" s="19"/>
      <c r="Z180" s="18"/>
      <c r="AE180" s="19"/>
      <c r="AH180" s="24"/>
      <c r="AI180" s="30"/>
      <c r="AJ180" s="30"/>
      <c r="AK180" s="30"/>
      <c r="AL180" s="24"/>
      <c r="AM180" s="24"/>
    </row>
    <row r="181" ht="15.75" customHeight="1">
      <c r="B181" s="18"/>
      <c r="C181" s="18"/>
      <c r="D181" s="18"/>
      <c r="E181" s="18"/>
      <c r="F181" s="18"/>
      <c r="G181" s="19"/>
      <c r="H181" s="27"/>
      <c r="I181" s="27"/>
      <c r="J181" s="27"/>
      <c r="K181" s="27"/>
      <c r="L181" s="27"/>
      <c r="M181" s="21"/>
      <c r="N181" s="27"/>
      <c r="O181" s="27"/>
      <c r="P181" s="27"/>
      <c r="Q181" s="27"/>
      <c r="R181" s="27"/>
      <c r="S181" s="21"/>
      <c r="T181" s="28"/>
      <c r="U181" s="28"/>
      <c r="V181" s="28"/>
      <c r="W181" s="28"/>
      <c r="X181" s="28"/>
      <c r="Y181" s="19"/>
      <c r="Z181" s="18"/>
      <c r="AE181" s="19"/>
      <c r="AH181" s="24"/>
      <c r="AI181" s="30"/>
      <c r="AJ181" s="30"/>
      <c r="AK181" s="30"/>
      <c r="AL181" s="24"/>
      <c r="AM181" s="24"/>
    </row>
    <row r="182" ht="15.75" customHeight="1">
      <c r="B182" s="18"/>
      <c r="C182" s="18"/>
      <c r="D182" s="18"/>
      <c r="E182" s="18"/>
      <c r="F182" s="18"/>
      <c r="G182" s="19"/>
      <c r="H182" s="27"/>
      <c r="I182" s="27"/>
      <c r="J182" s="27"/>
      <c r="K182" s="27"/>
      <c r="L182" s="27"/>
      <c r="M182" s="21"/>
      <c r="N182" s="27"/>
      <c r="O182" s="27"/>
      <c r="P182" s="27"/>
      <c r="Q182" s="27"/>
      <c r="R182" s="27"/>
      <c r="S182" s="21"/>
      <c r="T182" s="28"/>
      <c r="U182" s="28"/>
      <c r="V182" s="28"/>
      <c r="W182" s="28"/>
      <c r="X182" s="28"/>
      <c r="Y182" s="19"/>
      <c r="Z182" s="18"/>
      <c r="AE182" s="19"/>
      <c r="AH182" s="24"/>
      <c r="AI182" s="30"/>
      <c r="AJ182" s="30"/>
      <c r="AK182" s="30"/>
      <c r="AL182" s="24"/>
      <c r="AM182" s="24"/>
    </row>
    <row r="183" ht="15.75" customHeight="1">
      <c r="B183" s="18"/>
      <c r="C183" s="18"/>
      <c r="D183" s="18"/>
      <c r="E183" s="18"/>
      <c r="F183" s="18"/>
      <c r="G183" s="19"/>
      <c r="H183" s="27"/>
      <c r="I183" s="27"/>
      <c r="J183" s="27"/>
      <c r="K183" s="27"/>
      <c r="L183" s="27"/>
      <c r="M183" s="21"/>
      <c r="N183" s="27"/>
      <c r="O183" s="27"/>
      <c r="P183" s="27"/>
      <c r="Q183" s="27"/>
      <c r="R183" s="27"/>
      <c r="S183" s="21"/>
      <c r="T183" s="28"/>
      <c r="U183" s="28"/>
      <c r="V183" s="28"/>
      <c r="W183" s="28"/>
      <c r="X183" s="28"/>
      <c r="Y183" s="19"/>
      <c r="Z183" s="18"/>
      <c r="AE183" s="19"/>
      <c r="AH183" s="24"/>
      <c r="AI183" s="30"/>
      <c r="AJ183" s="30"/>
      <c r="AK183" s="30"/>
      <c r="AL183" s="24"/>
      <c r="AM183" s="24"/>
    </row>
    <row r="184" ht="15.75" customHeight="1">
      <c r="B184" s="18"/>
      <c r="C184" s="18"/>
      <c r="D184" s="18"/>
      <c r="E184" s="18"/>
      <c r="F184" s="18"/>
      <c r="G184" s="19"/>
      <c r="H184" s="27"/>
      <c r="I184" s="27"/>
      <c r="J184" s="27"/>
      <c r="K184" s="27"/>
      <c r="L184" s="27"/>
      <c r="M184" s="21"/>
      <c r="N184" s="27"/>
      <c r="O184" s="27"/>
      <c r="P184" s="27"/>
      <c r="Q184" s="27"/>
      <c r="R184" s="27"/>
      <c r="S184" s="21"/>
      <c r="T184" s="28"/>
      <c r="U184" s="28"/>
      <c r="V184" s="28"/>
      <c r="W184" s="28"/>
      <c r="X184" s="28"/>
      <c r="Y184" s="19"/>
      <c r="Z184" s="18"/>
      <c r="AE184" s="19"/>
      <c r="AH184" s="24"/>
      <c r="AI184" s="30"/>
      <c r="AJ184" s="30"/>
      <c r="AK184" s="30"/>
      <c r="AL184" s="24"/>
      <c r="AM184" s="24"/>
    </row>
    <row r="185" ht="15.75" customHeight="1">
      <c r="B185" s="18"/>
      <c r="C185" s="18"/>
      <c r="D185" s="18"/>
      <c r="E185" s="18"/>
      <c r="F185" s="18"/>
      <c r="G185" s="19"/>
      <c r="H185" s="27"/>
      <c r="I185" s="27"/>
      <c r="J185" s="27"/>
      <c r="K185" s="27"/>
      <c r="L185" s="27"/>
      <c r="M185" s="21"/>
      <c r="N185" s="27"/>
      <c r="O185" s="27"/>
      <c r="P185" s="27"/>
      <c r="Q185" s="27"/>
      <c r="R185" s="27"/>
      <c r="S185" s="21"/>
      <c r="T185" s="28"/>
      <c r="U185" s="28"/>
      <c r="V185" s="28"/>
      <c r="W185" s="28"/>
      <c r="X185" s="28"/>
      <c r="Y185" s="19"/>
      <c r="Z185" s="18"/>
      <c r="AE185" s="19"/>
      <c r="AH185" s="24"/>
      <c r="AI185" s="30"/>
      <c r="AJ185" s="30"/>
      <c r="AK185" s="30"/>
      <c r="AL185" s="24"/>
      <c r="AM185" s="24"/>
    </row>
    <row r="186" ht="15.75" customHeight="1">
      <c r="B186" s="18"/>
      <c r="C186" s="18"/>
      <c r="D186" s="18"/>
      <c r="E186" s="18"/>
      <c r="F186" s="18"/>
      <c r="G186" s="19"/>
      <c r="H186" s="27"/>
      <c r="I186" s="27"/>
      <c r="J186" s="27"/>
      <c r="K186" s="27"/>
      <c r="L186" s="27"/>
      <c r="M186" s="21"/>
      <c r="N186" s="27"/>
      <c r="O186" s="27"/>
      <c r="P186" s="27"/>
      <c r="Q186" s="27"/>
      <c r="R186" s="27"/>
      <c r="S186" s="21"/>
      <c r="T186" s="28"/>
      <c r="U186" s="28"/>
      <c r="V186" s="28"/>
      <c r="W186" s="28"/>
      <c r="X186" s="28"/>
      <c r="Y186" s="19"/>
      <c r="Z186" s="18"/>
      <c r="AE186" s="19"/>
      <c r="AH186" s="24"/>
      <c r="AI186" s="30"/>
      <c r="AJ186" s="30"/>
      <c r="AK186" s="30"/>
      <c r="AL186" s="24"/>
      <c r="AM186" s="24"/>
    </row>
    <row r="187" ht="15.75" customHeight="1">
      <c r="B187" s="18"/>
      <c r="C187" s="18"/>
      <c r="D187" s="18"/>
      <c r="E187" s="18"/>
      <c r="F187" s="18"/>
      <c r="G187" s="19"/>
      <c r="H187" s="27"/>
      <c r="I187" s="27"/>
      <c r="J187" s="27"/>
      <c r="K187" s="27"/>
      <c r="L187" s="27"/>
      <c r="M187" s="21"/>
      <c r="N187" s="27"/>
      <c r="O187" s="27"/>
      <c r="P187" s="27"/>
      <c r="Q187" s="27"/>
      <c r="R187" s="27"/>
      <c r="S187" s="21"/>
      <c r="T187" s="28"/>
      <c r="U187" s="28"/>
      <c r="V187" s="28"/>
      <c r="W187" s="28"/>
      <c r="X187" s="28"/>
      <c r="Y187" s="19"/>
      <c r="Z187" s="18"/>
      <c r="AE187" s="19"/>
      <c r="AH187" s="24"/>
      <c r="AI187" s="30"/>
      <c r="AJ187" s="30"/>
      <c r="AK187" s="30"/>
      <c r="AL187" s="24"/>
      <c r="AM187" s="24"/>
    </row>
    <row r="188" ht="15.75" customHeight="1">
      <c r="B188" s="18"/>
      <c r="C188" s="18"/>
      <c r="D188" s="18"/>
      <c r="E188" s="18"/>
      <c r="F188" s="18"/>
      <c r="G188" s="19"/>
      <c r="H188" s="27"/>
      <c r="I188" s="27"/>
      <c r="J188" s="27"/>
      <c r="K188" s="27"/>
      <c r="L188" s="27"/>
      <c r="M188" s="21"/>
      <c r="N188" s="27"/>
      <c r="O188" s="27"/>
      <c r="P188" s="27"/>
      <c r="Q188" s="27"/>
      <c r="R188" s="27"/>
      <c r="S188" s="21"/>
      <c r="T188" s="28"/>
      <c r="U188" s="28"/>
      <c r="V188" s="28"/>
      <c r="W188" s="28"/>
      <c r="X188" s="28"/>
      <c r="Y188" s="19"/>
      <c r="Z188" s="18"/>
      <c r="AE188" s="19"/>
      <c r="AH188" s="24"/>
      <c r="AI188" s="30"/>
      <c r="AJ188" s="30"/>
      <c r="AK188" s="30"/>
      <c r="AL188" s="24"/>
      <c r="AM188" s="24"/>
    </row>
    <row r="189" ht="15.75" customHeight="1">
      <c r="B189" s="18"/>
      <c r="C189" s="18"/>
      <c r="D189" s="18"/>
      <c r="E189" s="18"/>
      <c r="F189" s="18"/>
      <c r="G189" s="19"/>
      <c r="H189" s="27"/>
      <c r="I189" s="27"/>
      <c r="J189" s="27"/>
      <c r="K189" s="27"/>
      <c r="L189" s="27"/>
      <c r="M189" s="21"/>
      <c r="N189" s="27"/>
      <c r="O189" s="27"/>
      <c r="P189" s="27"/>
      <c r="Q189" s="27"/>
      <c r="R189" s="27"/>
      <c r="S189" s="21"/>
      <c r="T189" s="28"/>
      <c r="U189" s="28"/>
      <c r="V189" s="28"/>
      <c r="W189" s="28"/>
      <c r="X189" s="28"/>
      <c r="Y189" s="19"/>
      <c r="Z189" s="18"/>
      <c r="AE189" s="19"/>
      <c r="AH189" s="24"/>
      <c r="AI189" s="30"/>
      <c r="AJ189" s="30"/>
      <c r="AK189" s="30"/>
      <c r="AL189" s="24"/>
      <c r="AM189" s="24"/>
    </row>
    <row r="190" ht="15.75" customHeight="1">
      <c r="B190" s="18"/>
      <c r="C190" s="18"/>
      <c r="D190" s="18"/>
      <c r="E190" s="18"/>
      <c r="F190" s="18"/>
      <c r="G190" s="19"/>
      <c r="H190" s="27"/>
      <c r="I190" s="27"/>
      <c r="J190" s="27"/>
      <c r="K190" s="27"/>
      <c r="L190" s="27"/>
      <c r="M190" s="21"/>
      <c r="N190" s="27"/>
      <c r="O190" s="27"/>
      <c r="P190" s="27"/>
      <c r="Q190" s="27"/>
      <c r="R190" s="27"/>
      <c r="S190" s="21"/>
      <c r="T190" s="28"/>
      <c r="U190" s="28"/>
      <c r="V190" s="28"/>
      <c r="W190" s="28"/>
      <c r="X190" s="28"/>
      <c r="Y190" s="19"/>
      <c r="Z190" s="18"/>
      <c r="AE190" s="19"/>
      <c r="AH190" s="24"/>
      <c r="AI190" s="30"/>
      <c r="AJ190" s="30"/>
      <c r="AK190" s="30"/>
      <c r="AL190" s="24"/>
      <c r="AM190" s="24"/>
    </row>
    <row r="191" ht="15.75" customHeight="1">
      <c r="B191" s="18"/>
      <c r="C191" s="18"/>
      <c r="D191" s="18"/>
      <c r="E191" s="18"/>
      <c r="F191" s="18"/>
      <c r="G191" s="19"/>
      <c r="H191" s="27"/>
      <c r="I191" s="27"/>
      <c r="J191" s="27"/>
      <c r="K191" s="27"/>
      <c r="L191" s="27"/>
      <c r="M191" s="21"/>
      <c r="N191" s="27"/>
      <c r="O191" s="27"/>
      <c r="P191" s="27"/>
      <c r="Q191" s="27"/>
      <c r="R191" s="27"/>
      <c r="S191" s="21"/>
      <c r="T191" s="28"/>
      <c r="U191" s="28"/>
      <c r="V191" s="28"/>
      <c r="W191" s="28"/>
      <c r="X191" s="28"/>
      <c r="Y191" s="19"/>
      <c r="Z191" s="18"/>
      <c r="AE191" s="19"/>
      <c r="AH191" s="24"/>
      <c r="AI191" s="30"/>
      <c r="AJ191" s="30"/>
      <c r="AK191" s="30"/>
      <c r="AL191" s="24"/>
      <c r="AM191" s="24"/>
    </row>
    <row r="192" ht="15.75" customHeight="1">
      <c r="B192" s="18"/>
      <c r="C192" s="18"/>
      <c r="D192" s="18"/>
      <c r="E192" s="18"/>
      <c r="F192" s="18"/>
      <c r="G192" s="19"/>
      <c r="H192" s="27"/>
      <c r="I192" s="27"/>
      <c r="J192" s="27"/>
      <c r="K192" s="27"/>
      <c r="L192" s="27"/>
      <c r="M192" s="21"/>
      <c r="N192" s="27"/>
      <c r="O192" s="27"/>
      <c r="P192" s="27"/>
      <c r="Q192" s="27"/>
      <c r="R192" s="27"/>
      <c r="S192" s="21"/>
      <c r="T192" s="28"/>
      <c r="U192" s="28"/>
      <c r="V192" s="28"/>
      <c r="W192" s="28"/>
      <c r="X192" s="28"/>
      <c r="Y192" s="19"/>
      <c r="Z192" s="18"/>
      <c r="AE192" s="19"/>
      <c r="AH192" s="24"/>
      <c r="AI192" s="30"/>
      <c r="AJ192" s="30"/>
      <c r="AK192" s="30"/>
      <c r="AL192" s="24"/>
      <c r="AM192" s="24"/>
    </row>
    <row r="193" ht="15.75" customHeight="1">
      <c r="B193" s="18"/>
      <c r="C193" s="18"/>
      <c r="D193" s="18"/>
      <c r="E193" s="18"/>
      <c r="F193" s="18"/>
      <c r="G193" s="19"/>
      <c r="H193" s="27"/>
      <c r="I193" s="27"/>
      <c r="J193" s="27"/>
      <c r="K193" s="27"/>
      <c r="L193" s="27"/>
      <c r="M193" s="21"/>
      <c r="N193" s="27"/>
      <c r="O193" s="27"/>
      <c r="P193" s="27"/>
      <c r="Q193" s="27"/>
      <c r="R193" s="27"/>
      <c r="S193" s="21"/>
      <c r="T193" s="28"/>
      <c r="U193" s="28"/>
      <c r="V193" s="28"/>
      <c r="W193" s="28"/>
      <c r="X193" s="28"/>
      <c r="Y193" s="19"/>
      <c r="Z193" s="18"/>
      <c r="AE193" s="19"/>
      <c r="AH193" s="24"/>
      <c r="AI193" s="30"/>
      <c r="AJ193" s="30"/>
      <c r="AK193" s="30"/>
      <c r="AL193" s="24"/>
      <c r="AM193" s="24"/>
    </row>
    <row r="194" ht="15.75" customHeight="1">
      <c r="B194" s="18"/>
      <c r="C194" s="18"/>
      <c r="D194" s="18"/>
      <c r="E194" s="18"/>
      <c r="F194" s="18"/>
      <c r="G194" s="19"/>
      <c r="H194" s="27"/>
      <c r="I194" s="27"/>
      <c r="J194" s="27"/>
      <c r="K194" s="27"/>
      <c r="L194" s="27"/>
      <c r="M194" s="21"/>
      <c r="N194" s="27"/>
      <c r="O194" s="27"/>
      <c r="P194" s="27"/>
      <c r="Q194" s="27"/>
      <c r="R194" s="27"/>
      <c r="S194" s="21"/>
      <c r="T194" s="28"/>
      <c r="U194" s="28"/>
      <c r="V194" s="28"/>
      <c r="W194" s="28"/>
      <c r="X194" s="28"/>
      <c r="Y194" s="19"/>
      <c r="Z194" s="18"/>
      <c r="AE194" s="19"/>
      <c r="AH194" s="24"/>
      <c r="AI194" s="30"/>
      <c r="AJ194" s="30"/>
      <c r="AK194" s="30"/>
      <c r="AL194" s="24"/>
      <c r="AM194" s="24"/>
    </row>
    <row r="195" ht="15.75" customHeight="1">
      <c r="B195" s="18"/>
      <c r="C195" s="18"/>
      <c r="D195" s="18"/>
      <c r="E195" s="18"/>
      <c r="F195" s="18"/>
      <c r="G195" s="19"/>
      <c r="H195" s="27"/>
      <c r="I195" s="27"/>
      <c r="J195" s="27"/>
      <c r="K195" s="27"/>
      <c r="L195" s="27"/>
      <c r="M195" s="21"/>
      <c r="N195" s="27"/>
      <c r="O195" s="27"/>
      <c r="P195" s="27"/>
      <c r="Q195" s="27"/>
      <c r="R195" s="27"/>
      <c r="S195" s="21"/>
      <c r="T195" s="28"/>
      <c r="U195" s="28"/>
      <c r="V195" s="28"/>
      <c r="W195" s="28"/>
      <c r="X195" s="28"/>
      <c r="Y195" s="19"/>
      <c r="Z195" s="18"/>
      <c r="AE195" s="19"/>
      <c r="AH195" s="24"/>
      <c r="AI195" s="30"/>
      <c r="AJ195" s="30"/>
      <c r="AK195" s="30"/>
      <c r="AL195" s="24"/>
      <c r="AM195" s="24"/>
    </row>
    <row r="196" ht="15.75" customHeight="1">
      <c r="B196" s="18"/>
      <c r="C196" s="18"/>
      <c r="D196" s="18"/>
      <c r="E196" s="18"/>
      <c r="F196" s="18"/>
      <c r="G196" s="19"/>
      <c r="H196" s="27"/>
      <c r="I196" s="27"/>
      <c r="J196" s="27"/>
      <c r="K196" s="27"/>
      <c r="L196" s="27"/>
      <c r="M196" s="21"/>
      <c r="N196" s="27"/>
      <c r="O196" s="27"/>
      <c r="P196" s="27"/>
      <c r="Q196" s="27"/>
      <c r="R196" s="27"/>
      <c r="S196" s="21"/>
      <c r="T196" s="28"/>
      <c r="U196" s="28"/>
      <c r="V196" s="28"/>
      <c r="W196" s="28"/>
      <c r="X196" s="28"/>
      <c r="Y196" s="19"/>
      <c r="Z196" s="18"/>
      <c r="AE196" s="19"/>
      <c r="AH196" s="24"/>
      <c r="AI196" s="30"/>
      <c r="AJ196" s="30"/>
      <c r="AK196" s="30"/>
      <c r="AL196" s="24"/>
      <c r="AM196" s="24"/>
    </row>
    <row r="197" ht="15.75" customHeight="1">
      <c r="B197" s="18"/>
      <c r="C197" s="18"/>
      <c r="D197" s="18"/>
      <c r="E197" s="18"/>
      <c r="F197" s="18"/>
      <c r="G197" s="19"/>
      <c r="H197" s="27"/>
      <c r="I197" s="27"/>
      <c r="J197" s="27"/>
      <c r="K197" s="27"/>
      <c r="L197" s="27"/>
      <c r="M197" s="21"/>
      <c r="N197" s="27"/>
      <c r="O197" s="27"/>
      <c r="P197" s="27"/>
      <c r="Q197" s="27"/>
      <c r="R197" s="27"/>
      <c r="S197" s="21"/>
      <c r="T197" s="28"/>
      <c r="U197" s="28"/>
      <c r="V197" s="28"/>
      <c r="W197" s="28"/>
      <c r="X197" s="28"/>
      <c r="Y197" s="19"/>
      <c r="Z197" s="18"/>
      <c r="AE197" s="19"/>
      <c r="AH197" s="24"/>
      <c r="AI197" s="30"/>
      <c r="AJ197" s="30"/>
      <c r="AK197" s="30"/>
      <c r="AL197" s="24"/>
      <c r="AM197" s="24"/>
    </row>
    <row r="198" ht="15.75" customHeight="1">
      <c r="B198" s="18"/>
      <c r="C198" s="18"/>
      <c r="D198" s="18"/>
      <c r="E198" s="18"/>
      <c r="F198" s="18"/>
      <c r="G198" s="19"/>
      <c r="H198" s="27"/>
      <c r="I198" s="27"/>
      <c r="J198" s="27"/>
      <c r="K198" s="27"/>
      <c r="L198" s="27"/>
      <c r="M198" s="21"/>
      <c r="N198" s="27"/>
      <c r="O198" s="27"/>
      <c r="P198" s="27"/>
      <c r="Q198" s="27"/>
      <c r="R198" s="27"/>
      <c r="S198" s="21"/>
      <c r="T198" s="28"/>
      <c r="U198" s="28"/>
      <c r="V198" s="28"/>
      <c r="W198" s="28"/>
      <c r="X198" s="28"/>
      <c r="Y198" s="19"/>
      <c r="Z198" s="18"/>
      <c r="AE198" s="19"/>
      <c r="AH198" s="24"/>
      <c r="AI198" s="30"/>
      <c r="AJ198" s="30"/>
      <c r="AK198" s="30"/>
      <c r="AL198" s="24"/>
      <c r="AM198" s="24"/>
    </row>
    <row r="199" ht="15.75" customHeight="1">
      <c r="B199" s="18"/>
      <c r="C199" s="18"/>
      <c r="D199" s="18"/>
      <c r="E199" s="18"/>
      <c r="F199" s="18"/>
      <c r="G199" s="19"/>
      <c r="H199" s="27"/>
      <c r="I199" s="27"/>
      <c r="J199" s="27"/>
      <c r="K199" s="27"/>
      <c r="L199" s="27"/>
      <c r="M199" s="21"/>
      <c r="N199" s="27"/>
      <c r="O199" s="27"/>
      <c r="P199" s="27"/>
      <c r="Q199" s="27"/>
      <c r="R199" s="27"/>
      <c r="S199" s="21"/>
      <c r="T199" s="28"/>
      <c r="U199" s="28"/>
      <c r="V199" s="28"/>
      <c r="W199" s="28"/>
      <c r="X199" s="28"/>
      <c r="Y199" s="19"/>
      <c r="Z199" s="18"/>
      <c r="AE199" s="19"/>
      <c r="AH199" s="24"/>
      <c r="AI199" s="30"/>
      <c r="AJ199" s="30"/>
      <c r="AK199" s="30"/>
      <c r="AL199" s="24"/>
      <c r="AM199" s="24"/>
    </row>
    <row r="200" ht="15.75" customHeight="1">
      <c r="B200" s="18"/>
      <c r="C200" s="18"/>
      <c r="D200" s="18"/>
      <c r="E200" s="18"/>
      <c r="F200" s="18"/>
      <c r="G200" s="19"/>
      <c r="H200" s="27"/>
      <c r="I200" s="27"/>
      <c r="J200" s="27"/>
      <c r="K200" s="27"/>
      <c r="L200" s="27"/>
      <c r="M200" s="21"/>
      <c r="N200" s="27"/>
      <c r="O200" s="27"/>
      <c r="P200" s="27"/>
      <c r="Q200" s="27"/>
      <c r="R200" s="27"/>
      <c r="S200" s="21"/>
      <c r="T200" s="28"/>
      <c r="U200" s="28"/>
      <c r="V200" s="28"/>
      <c r="W200" s="28"/>
      <c r="X200" s="28"/>
      <c r="Y200" s="19"/>
      <c r="Z200" s="18"/>
      <c r="AE200" s="19"/>
      <c r="AH200" s="24"/>
      <c r="AI200" s="30"/>
      <c r="AJ200" s="30"/>
      <c r="AK200" s="30"/>
      <c r="AL200" s="24"/>
      <c r="AM200" s="24"/>
    </row>
    <row r="201" ht="15.75" customHeight="1">
      <c r="B201" s="18"/>
      <c r="C201" s="18"/>
      <c r="D201" s="18"/>
      <c r="E201" s="18"/>
      <c r="F201" s="18"/>
      <c r="G201" s="19"/>
      <c r="H201" s="27"/>
      <c r="I201" s="27"/>
      <c r="J201" s="27"/>
      <c r="K201" s="27"/>
      <c r="L201" s="27"/>
      <c r="M201" s="21"/>
      <c r="N201" s="27"/>
      <c r="O201" s="27"/>
      <c r="P201" s="27"/>
      <c r="Q201" s="27"/>
      <c r="R201" s="27"/>
      <c r="S201" s="21"/>
      <c r="T201" s="28"/>
      <c r="U201" s="28"/>
      <c r="V201" s="28"/>
      <c r="W201" s="28"/>
      <c r="X201" s="28"/>
      <c r="Y201" s="19"/>
      <c r="Z201" s="18"/>
      <c r="AE201" s="19"/>
      <c r="AH201" s="24"/>
      <c r="AI201" s="30"/>
      <c r="AJ201" s="30"/>
      <c r="AK201" s="30"/>
      <c r="AL201" s="24"/>
      <c r="AM201" s="24"/>
    </row>
    <row r="202" ht="15.75" customHeight="1">
      <c r="B202" s="18"/>
      <c r="C202" s="18"/>
      <c r="D202" s="18"/>
      <c r="E202" s="18"/>
      <c r="F202" s="18"/>
      <c r="G202" s="19"/>
      <c r="H202" s="27"/>
      <c r="I202" s="27"/>
      <c r="J202" s="27"/>
      <c r="K202" s="27"/>
      <c r="L202" s="27"/>
      <c r="M202" s="21"/>
      <c r="N202" s="27"/>
      <c r="O202" s="27"/>
      <c r="P202" s="27"/>
      <c r="Q202" s="27"/>
      <c r="R202" s="27"/>
      <c r="S202" s="21"/>
      <c r="T202" s="28"/>
      <c r="U202" s="28"/>
      <c r="V202" s="28"/>
      <c r="W202" s="28"/>
      <c r="X202" s="28"/>
      <c r="Y202" s="19"/>
      <c r="Z202" s="18"/>
      <c r="AE202" s="19"/>
      <c r="AH202" s="24"/>
      <c r="AI202" s="30"/>
      <c r="AJ202" s="30"/>
      <c r="AK202" s="30"/>
      <c r="AL202" s="24"/>
      <c r="AM202" s="24"/>
    </row>
    <row r="203" ht="15.75" customHeight="1">
      <c r="B203" s="18"/>
      <c r="C203" s="18"/>
      <c r="D203" s="18"/>
      <c r="E203" s="18"/>
      <c r="F203" s="18"/>
      <c r="G203" s="19"/>
      <c r="H203" s="27"/>
      <c r="I203" s="27"/>
      <c r="J203" s="27"/>
      <c r="K203" s="27"/>
      <c r="L203" s="27"/>
      <c r="M203" s="21"/>
      <c r="N203" s="27"/>
      <c r="O203" s="27"/>
      <c r="P203" s="27"/>
      <c r="Q203" s="27"/>
      <c r="R203" s="27"/>
      <c r="S203" s="21"/>
      <c r="T203" s="28"/>
      <c r="U203" s="28"/>
      <c r="V203" s="28"/>
      <c r="W203" s="28"/>
      <c r="X203" s="28"/>
      <c r="Y203" s="19"/>
      <c r="Z203" s="18"/>
      <c r="AE203" s="19"/>
      <c r="AH203" s="24"/>
      <c r="AI203" s="30"/>
      <c r="AJ203" s="30"/>
      <c r="AK203" s="30"/>
      <c r="AL203" s="24"/>
      <c r="AM203" s="24"/>
    </row>
    <row r="204" ht="15.75" customHeight="1">
      <c r="B204" s="18"/>
      <c r="C204" s="18"/>
      <c r="D204" s="18"/>
      <c r="E204" s="18"/>
      <c r="F204" s="18"/>
      <c r="G204" s="19"/>
      <c r="H204" s="27"/>
      <c r="I204" s="27"/>
      <c r="J204" s="27"/>
      <c r="K204" s="27"/>
      <c r="L204" s="27"/>
      <c r="M204" s="21"/>
      <c r="N204" s="27"/>
      <c r="O204" s="27"/>
      <c r="P204" s="27"/>
      <c r="Q204" s="27"/>
      <c r="R204" s="27"/>
      <c r="S204" s="21"/>
      <c r="T204" s="28"/>
      <c r="U204" s="28"/>
      <c r="V204" s="28"/>
      <c r="W204" s="28"/>
      <c r="X204" s="28"/>
      <c r="Y204" s="19"/>
      <c r="Z204" s="18"/>
      <c r="AE204" s="19"/>
      <c r="AH204" s="24"/>
      <c r="AI204" s="30"/>
      <c r="AJ204" s="30"/>
      <c r="AK204" s="30"/>
      <c r="AL204" s="24"/>
      <c r="AM204" s="24"/>
    </row>
    <row r="205" ht="15.75" customHeight="1">
      <c r="B205" s="18"/>
      <c r="C205" s="18"/>
      <c r="D205" s="18"/>
      <c r="E205" s="18"/>
      <c r="F205" s="18"/>
      <c r="G205" s="19"/>
      <c r="H205" s="27"/>
      <c r="I205" s="27"/>
      <c r="J205" s="27"/>
      <c r="K205" s="27"/>
      <c r="L205" s="27"/>
      <c r="M205" s="21"/>
      <c r="N205" s="27"/>
      <c r="O205" s="27"/>
      <c r="P205" s="27"/>
      <c r="Q205" s="27"/>
      <c r="R205" s="27"/>
      <c r="S205" s="21"/>
      <c r="T205" s="28"/>
      <c r="U205" s="28"/>
      <c r="V205" s="28"/>
      <c r="W205" s="28"/>
      <c r="X205" s="28"/>
      <c r="Y205" s="19"/>
      <c r="Z205" s="18"/>
      <c r="AE205" s="19"/>
      <c r="AH205" s="24"/>
      <c r="AI205" s="30"/>
      <c r="AJ205" s="30"/>
      <c r="AK205" s="30"/>
      <c r="AL205" s="24"/>
      <c r="AM205" s="24"/>
    </row>
    <row r="206" ht="15.75" customHeight="1">
      <c r="B206" s="18"/>
      <c r="C206" s="18"/>
      <c r="D206" s="18"/>
      <c r="E206" s="18"/>
      <c r="F206" s="18"/>
      <c r="G206" s="19"/>
      <c r="H206" s="27"/>
      <c r="I206" s="27"/>
      <c r="J206" s="27"/>
      <c r="K206" s="27"/>
      <c r="L206" s="27"/>
      <c r="M206" s="21"/>
      <c r="N206" s="27"/>
      <c r="O206" s="27"/>
      <c r="P206" s="27"/>
      <c r="Q206" s="27"/>
      <c r="R206" s="27"/>
      <c r="S206" s="21"/>
      <c r="T206" s="28"/>
      <c r="U206" s="28"/>
      <c r="V206" s="28"/>
      <c r="W206" s="28"/>
      <c r="X206" s="28"/>
      <c r="Y206" s="19"/>
      <c r="Z206" s="18"/>
      <c r="AE206" s="19"/>
      <c r="AH206" s="24"/>
      <c r="AI206" s="30"/>
      <c r="AJ206" s="30"/>
      <c r="AK206" s="30"/>
      <c r="AL206" s="24"/>
      <c r="AM206" s="24"/>
    </row>
    <row r="207" ht="15.75" customHeight="1">
      <c r="B207" s="18"/>
      <c r="C207" s="18"/>
      <c r="D207" s="18"/>
      <c r="E207" s="18"/>
      <c r="F207" s="18"/>
      <c r="G207" s="19"/>
      <c r="H207" s="27"/>
      <c r="I207" s="27"/>
      <c r="J207" s="27"/>
      <c r="K207" s="27"/>
      <c r="L207" s="27"/>
      <c r="M207" s="21"/>
      <c r="N207" s="27"/>
      <c r="O207" s="27"/>
      <c r="P207" s="27"/>
      <c r="Q207" s="27"/>
      <c r="R207" s="27"/>
      <c r="S207" s="21"/>
      <c r="T207" s="28"/>
      <c r="U207" s="28"/>
      <c r="V207" s="28"/>
      <c r="W207" s="28"/>
      <c r="X207" s="28"/>
      <c r="Y207" s="19"/>
      <c r="Z207" s="18"/>
      <c r="AE207" s="19"/>
      <c r="AH207" s="24"/>
      <c r="AI207" s="30"/>
      <c r="AJ207" s="30"/>
      <c r="AK207" s="30"/>
      <c r="AL207" s="24"/>
      <c r="AM207" s="24"/>
    </row>
    <row r="208" ht="15.75" customHeight="1">
      <c r="B208" s="18"/>
      <c r="C208" s="18"/>
      <c r="D208" s="18"/>
      <c r="E208" s="18"/>
      <c r="F208" s="18"/>
      <c r="G208" s="19"/>
      <c r="H208" s="27"/>
      <c r="I208" s="27"/>
      <c r="J208" s="27"/>
      <c r="K208" s="27"/>
      <c r="L208" s="27"/>
      <c r="M208" s="21"/>
      <c r="N208" s="27"/>
      <c r="O208" s="27"/>
      <c r="P208" s="27"/>
      <c r="Q208" s="27"/>
      <c r="R208" s="27"/>
      <c r="S208" s="21"/>
      <c r="T208" s="28"/>
      <c r="U208" s="28"/>
      <c r="V208" s="28"/>
      <c r="W208" s="28"/>
      <c r="X208" s="28"/>
      <c r="Y208" s="19"/>
      <c r="Z208" s="18"/>
      <c r="AE208" s="19"/>
      <c r="AH208" s="24"/>
      <c r="AI208" s="30"/>
      <c r="AJ208" s="30"/>
      <c r="AK208" s="30"/>
      <c r="AL208" s="24"/>
      <c r="AM208" s="24"/>
    </row>
    <row r="209" ht="15.75" customHeight="1">
      <c r="B209" s="18"/>
      <c r="C209" s="18"/>
      <c r="D209" s="18"/>
      <c r="E209" s="18"/>
      <c r="F209" s="18"/>
      <c r="G209" s="19"/>
      <c r="H209" s="27"/>
      <c r="I209" s="27"/>
      <c r="J209" s="27"/>
      <c r="K209" s="27"/>
      <c r="L209" s="27"/>
      <c r="M209" s="21"/>
      <c r="N209" s="27"/>
      <c r="O209" s="27"/>
      <c r="P209" s="27"/>
      <c r="Q209" s="27"/>
      <c r="R209" s="27"/>
      <c r="S209" s="21"/>
      <c r="T209" s="28"/>
      <c r="U209" s="28"/>
      <c r="V209" s="28"/>
      <c r="W209" s="28"/>
      <c r="X209" s="28"/>
      <c r="Y209" s="19"/>
      <c r="Z209" s="18"/>
      <c r="AE209" s="19"/>
      <c r="AH209" s="24"/>
      <c r="AI209" s="30"/>
      <c r="AJ209" s="30"/>
      <c r="AK209" s="30"/>
      <c r="AL209" s="24"/>
      <c r="AM209" s="24"/>
    </row>
    <row r="210" ht="15.75" customHeight="1">
      <c r="B210" s="18"/>
      <c r="C210" s="18"/>
      <c r="D210" s="18"/>
      <c r="E210" s="18"/>
      <c r="F210" s="18"/>
      <c r="G210" s="19"/>
      <c r="H210" s="27"/>
      <c r="I210" s="27"/>
      <c r="J210" s="27"/>
      <c r="K210" s="27"/>
      <c r="L210" s="27"/>
      <c r="M210" s="21"/>
      <c r="N210" s="27"/>
      <c r="O210" s="27"/>
      <c r="P210" s="27"/>
      <c r="Q210" s="27"/>
      <c r="R210" s="27"/>
      <c r="S210" s="21"/>
      <c r="T210" s="28"/>
      <c r="U210" s="28"/>
      <c r="V210" s="28"/>
      <c r="W210" s="28"/>
      <c r="X210" s="28"/>
      <c r="Y210" s="19"/>
      <c r="Z210" s="18"/>
      <c r="AE210" s="19"/>
      <c r="AH210" s="24"/>
      <c r="AI210" s="30"/>
      <c r="AJ210" s="30"/>
      <c r="AK210" s="30"/>
      <c r="AL210" s="24"/>
      <c r="AM210" s="24"/>
    </row>
    <row r="211" ht="15.75" customHeight="1">
      <c r="B211" s="18"/>
      <c r="C211" s="18"/>
      <c r="D211" s="18"/>
      <c r="E211" s="18"/>
      <c r="F211" s="18"/>
      <c r="G211" s="19"/>
      <c r="H211" s="27"/>
      <c r="I211" s="27"/>
      <c r="J211" s="27"/>
      <c r="K211" s="27"/>
      <c r="L211" s="27"/>
      <c r="M211" s="21"/>
      <c r="N211" s="27"/>
      <c r="O211" s="27"/>
      <c r="P211" s="27"/>
      <c r="Q211" s="27"/>
      <c r="R211" s="27"/>
      <c r="S211" s="21"/>
      <c r="T211" s="28"/>
      <c r="U211" s="28"/>
      <c r="V211" s="28"/>
      <c r="W211" s="28"/>
      <c r="X211" s="28"/>
      <c r="Y211" s="19"/>
      <c r="Z211" s="18"/>
      <c r="AE211" s="19"/>
      <c r="AH211" s="24"/>
      <c r="AI211" s="30"/>
      <c r="AJ211" s="30"/>
      <c r="AK211" s="30"/>
      <c r="AL211" s="24"/>
      <c r="AM211" s="24"/>
    </row>
    <row r="212" ht="15.75" customHeight="1">
      <c r="B212" s="18"/>
      <c r="C212" s="18"/>
      <c r="D212" s="18"/>
      <c r="E212" s="18"/>
      <c r="F212" s="18"/>
      <c r="G212" s="19"/>
      <c r="H212" s="27"/>
      <c r="I212" s="27"/>
      <c r="J212" s="27"/>
      <c r="K212" s="27"/>
      <c r="L212" s="27"/>
      <c r="M212" s="21"/>
      <c r="N212" s="27"/>
      <c r="O212" s="27"/>
      <c r="P212" s="27"/>
      <c r="Q212" s="27"/>
      <c r="R212" s="27"/>
      <c r="S212" s="21"/>
      <c r="T212" s="28"/>
      <c r="U212" s="28"/>
      <c r="V212" s="28"/>
      <c r="W212" s="28"/>
      <c r="X212" s="28"/>
      <c r="Y212" s="19"/>
      <c r="Z212" s="18"/>
      <c r="AE212" s="19"/>
      <c r="AH212" s="24"/>
      <c r="AI212" s="30"/>
      <c r="AJ212" s="30"/>
      <c r="AK212" s="30"/>
      <c r="AL212" s="24"/>
      <c r="AM212" s="24"/>
    </row>
    <row r="213" ht="15.75" customHeight="1">
      <c r="B213" s="18"/>
      <c r="C213" s="18"/>
      <c r="D213" s="18"/>
      <c r="E213" s="18"/>
      <c r="F213" s="18"/>
      <c r="G213" s="19"/>
      <c r="H213" s="27"/>
      <c r="I213" s="27"/>
      <c r="J213" s="27"/>
      <c r="K213" s="27"/>
      <c r="L213" s="27"/>
      <c r="M213" s="21"/>
      <c r="N213" s="27"/>
      <c r="O213" s="27"/>
      <c r="P213" s="27"/>
      <c r="Q213" s="27"/>
      <c r="R213" s="27"/>
      <c r="S213" s="21"/>
      <c r="T213" s="28"/>
      <c r="U213" s="28"/>
      <c r="V213" s="28"/>
      <c r="W213" s="28"/>
      <c r="X213" s="28"/>
      <c r="Y213" s="19"/>
      <c r="Z213" s="18"/>
      <c r="AE213" s="19"/>
      <c r="AH213" s="24"/>
      <c r="AI213" s="30"/>
      <c r="AJ213" s="30"/>
      <c r="AK213" s="30"/>
      <c r="AL213" s="24"/>
      <c r="AM213" s="24"/>
    </row>
    <row r="214" ht="15.75" customHeight="1">
      <c r="B214" s="18"/>
      <c r="C214" s="18"/>
      <c r="D214" s="18"/>
      <c r="E214" s="18"/>
      <c r="F214" s="18"/>
      <c r="G214" s="19"/>
      <c r="H214" s="27"/>
      <c r="I214" s="27"/>
      <c r="J214" s="27"/>
      <c r="K214" s="27"/>
      <c r="L214" s="27"/>
      <c r="M214" s="21"/>
      <c r="N214" s="27"/>
      <c r="O214" s="27"/>
      <c r="P214" s="27"/>
      <c r="Q214" s="27"/>
      <c r="R214" s="27"/>
      <c r="S214" s="21"/>
      <c r="T214" s="28"/>
      <c r="U214" s="28"/>
      <c r="V214" s="28"/>
      <c r="W214" s="28"/>
      <c r="X214" s="28"/>
      <c r="Y214" s="19"/>
      <c r="Z214" s="18"/>
      <c r="AE214" s="19"/>
      <c r="AH214" s="24"/>
      <c r="AI214" s="30"/>
      <c r="AJ214" s="30"/>
      <c r="AK214" s="30"/>
      <c r="AL214" s="24"/>
      <c r="AM214" s="24"/>
    </row>
    <row r="215" ht="15.75" customHeight="1">
      <c r="B215" s="18"/>
      <c r="C215" s="18"/>
      <c r="D215" s="18"/>
      <c r="E215" s="18"/>
      <c r="F215" s="18"/>
      <c r="G215" s="19"/>
      <c r="H215" s="27"/>
      <c r="I215" s="27"/>
      <c r="J215" s="27"/>
      <c r="K215" s="27"/>
      <c r="L215" s="27"/>
      <c r="M215" s="21"/>
      <c r="N215" s="27"/>
      <c r="O215" s="27"/>
      <c r="P215" s="27"/>
      <c r="Q215" s="27"/>
      <c r="R215" s="27"/>
      <c r="S215" s="21"/>
      <c r="T215" s="28"/>
      <c r="U215" s="28"/>
      <c r="V215" s="28"/>
      <c r="W215" s="28"/>
      <c r="X215" s="28"/>
      <c r="Y215" s="19"/>
      <c r="Z215" s="18"/>
      <c r="AE215" s="19"/>
      <c r="AH215" s="24"/>
      <c r="AI215" s="30"/>
      <c r="AJ215" s="30"/>
      <c r="AK215" s="30"/>
      <c r="AL215" s="24"/>
      <c r="AM215" s="24"/>
    </row>
    <row r="216" ht="15.75" customHeight="1">
      <c r="B216" s="18"/>
      <c r="C216" s="18"/>
      <c r="D216" s="18"/>
      <c r="E216" s="18"/>
      <c r="F216" s="18"/>
      <c r="G216" s="19"/>
      <c r="H216" s="27"/>
      <c r="I216" s="27"/>
      <c r="J216" s="27"/>
      <c r="K216" s="27"/>
      <c r="L216" s="27"/>
      <c r="M216" s="21"/>
      <c r="N216" s="27"/>
      <c r="O216" s="27"/>
      <c r="P216" s="27"/>
      <c r="Q216" s="27"/>
      <c r="R216" s="27"/>
      <c r="S216" s="21"/>
      <c r="T216" s="28"/>
      <c r="U216" s="28"/>
      <c r="V216" s="28"/>
      <c r="W216" s="28"/>
      <c r="X216" s="28"/>
      <c r="Y216" s="19"/>
      <c r="Z216" s="18"/>
      <c r="AE216" s="19"/>
      <c r="AH216" s="24"/>
      <c r="AI216" s="30"/>
      <c r="AJ216" s="30"/>
      <c r="AK216" s="30"/>
      <c r="AL216" s="24"/>
      <c r="AM216" s="24"/>
    </row>
    <row r="217" ht="15.75" customHeight="1">
      <c r="B217" s="18"/>
      <c r="C217" s="18"/>
      <c r="D217" s="18"/>
      <c r="E217" s="18"/>
      <c r="F217" s="18"/>
      <c r="G217" s="19"/>
      <c r="H217" s="27"/>
      <c r="I217" s="27"/>
      <c r="J217" s="27"/>
      <c r="K217" s="27"/>
      <c r="L217" s="27"/>
      <c r="M217" s="21"/>
      <c r="N217" s="27"/>
      <c r="O217" s="27"/>
      <c r="P217" s="27"/>
      <c r="Q217" s="27"/>
      <c r="R217" s="27"/>
      <c r="S217" s="21"/>
      <c r="T217" s="28"/>
      <c r="U217" s="28"/>
      <c r="V217" s="28"/>
      <c r="W217" s="28"/>
      <c r="X217" s="28"/>
      <c r="Y217" s="19"/>
      <c r="Z217" s="18"/>
      <c r="AE217" s="19"/>
      <c r="AH217" s="24"/>
      <c r="AI217" s="30"/>
      <c r="AJ217" s="30"/>
      <c r="AK217" s="30"/>
      <c r="AL217" s="24"/>
      <c r="AM217" s="24"/>
    </row>
    <row r="218" ht="15.75" customHeight="1">
      <c r="B218" s="18"/>
      <c r="C218" s="18"/>
      <c r="D218" s="18"/>
      <c r="E218" s="18"/>
      <c r="F218" s="18"/>
      <c r="G218" s="19"/>
      <c r="H218" s="27"/>
      <c r="I218" s="27"/>
      <c r="J218" s="27"/>
      <c r="K218" s="27"/>
      <c r="L218" s="27"/>
      <c r="M218" s="21"/>
      <c r="N218" s="27"/>
      <c r="O218" s="27"/>
      <c r="P218" s="27"/>
      <c r="Q218" s="27"/>
      <c r="R218" s="27"/>
      <c r="S218" s="21"/>
      <c r="T218" s="28"/>
      <c r="U218" s="28"/>
      <c r="V218" s="28"/>
      <c r="W218" s="28"/>
      <c r="X218" s="28"/>
      <c r="Y218" s="19"/>
      <c r="Z218" s="18"/>
      <c r="AE218" s="19"/>
      <c r="AH218" s="24"/>
      <c r="AI218" s="30"/>
      <c r="AJ218" s="30"/>
      <c r="AK218" s="30"/>
      <c r="AL218" s="24"/>
      <c r="AM218" s="24"/>
    </row>
    <row r="219" ht="15.75" customHeight="1">
      <c r="B219" s="18"/>
      <c r="C219" s="18"/>
      <c r="D219" s="18"/>
      <c r="E219" s="18"/>
      <c r="F219" s="18"/>
      <c r="G219" s="19"/>
      <c r="H219" s="27"/>
      <c r="I219" s="27"/>
      <c r="J219" s="27"/>
      <c r="K219" s="27"/>
      <c r="L219" s="27"/>
      <c r="M219" s="21"/>
      <c r="N219" s="27"/>
      <c r="O219" s="27"/>
      <c r="P219" s="27"/>
      <c r="Q219" s="27"/>
      <c r="R219" s="27"/>
      <c r="S219" s="21"/>
      <c r="T219" s="28"/>
      <c r="U219" s="28"/>
      <c r="V219" s="28"/>
      <c r="W219" s="28"/>
      <c r="X219" s="28"/>
      <c r="Y219" s="19"/>
      <c r="Z219" s="18"/>
      <c r="AE219" s="19"/>
      <c r="AH219" s="24"/>
      <c r="AI219" s="30"/>
      <c r="AJ219" s="30"/>
      <c r="AK219" s="30"/>
      <c r="AL219" s="24"/>
      <c r="AM219" s="24"/>
    </row>
    <row r="220" ht="15.75" customHeight="1">
      <c r="B220" s="18"/>
      <c r="C220" s="18"/>
      <c r="D220" s="18"/>
      <c r="E220" s="18"/>
      <c r="F220" s="18"/>
      <c r="G220" s="19"/>
      <c r="H220" s="27"/>
      <c r="I220" s="27"/>
      <c r="J220" s="27"/>
      <c r="K220" s="27"/>
      <c r="L220" s="27"/>
      <c r="M220" s="21"/>
      <c r="N220" s="27"/>
      <c r="O220" s="27"/>
      <c r="P220" s="27"/>
      <c r="Q220" s="27"/>
      <c r="R220" s="27"/>
      <c r="S220" s="21"/>
      <c r="T220" s="28"/>
      <c r="U220" s="28"/>
      <c r="V220" s="28"/>
      <c r="W220" s="28"/>
      <c r="X220" s="28"/>
      <c r="Y220" s="19"/>
      <c r="Z220" s="18"/>
      <c r="AE220" s="19"/>
      <c r="AH220" s="24"/>
      <c r="AI220" s="30"/>
      <c r="AJ220" s="30"/>
      <c r="AK220" s="30"/>
      <c r="AL220" s="24"/>
      <c r="AM220" s="24"/>
    </row>
    <row r="221" ht="15.75" customHeight="1">
      <c r="B221" s="18"/>
      <c r="C221" s="18"/>
      <c r="D221" s="18"/>
      <c r="E221" s="18"/>
      <c r="F221" s="18"/>
      <c r="G221" s="19"/>
      <c r="H221" s="27"/>
      <c r="I221" s="27"/>
      <c r="J221" s="27"/>
      <c r="K221" s="27"/>
      <c r="L221" s="27"/>
      <c r="M221" s="21"/>
      <c r="N221" s="27"/>
      <c r="O221" s="27"/>
      <c r="P221" s="27"/>
      <c r="Q221" s="27"/>
      <c r="R221" s="27"/>
      <c r="S221" s="21"/>
      <c r="T221" s="28"/>
      <c r="U221" s="28"/>
      <c r="V221" s="28"/>
      <c r="W221" s="28"/>
      <c r="X221" s="28"/>
      <c r="Y221" s="19"/>
      <c r="Z221" s="18"/>
      <c r="AE221" s="19"/>
      <c r="AH221" s="24"/>
      <c r="AI221" s="30"/>
      <c r="AJ221" s="30"/>
      <c r="AK221" s="30"/>
      <c r="AL221" s="24"/>
      <c r="AM221" s="24"/>
    </row>
    <row r="222" ht="15.75" customHeight="1">
      <c r="B222" s="18"/>
      <c r="C222" s="18"/>
      <c r="D222" s="18"/>
      <c r="E222" s="18"/>
      <c r="F222" s="18"/>
      <c r="G222" s="19"/>
      <c r="H222" s="27"/>
      <c r="I222" s="27"/>
      <c r="J222" s="27"/>
      <c r="K222" s="27"/>
      <c r="L222" s="27"/>
      <c r="M222" s="21"/>
      <c r="N222" s="27"/>
      <c r="O222" s="27"/>
      <c r="P222" s="27"/>
      <c r="Q222" s="27"/>
      <c r="R222" s="27"/>
      <c r="S222" s="21"/>
      <c r="T222" s="28"/>
      <c r="U222" s="28"/>
      <c r="V222" s="28"/>
      <c r="W222" s="28"/>
      <c r="X222" s="28"/>
      <c r="Y222" s="19"/>
      <c r="Z222" s="18"/>
      <c r="AE222" s="19"/>
      <c r="AH222" s="24"/>
      <c r="AI222" s="30"/>
      <c r="AJ222" s="30"/>
      <c r="AK222" s="30"/>
      <c r="AL222" s="24"/>
      <c r="AM222" s="24"/>
    </row>
    <row r="223" ht="15.75" customHeight="1">
      <c r="B223" s="18"/>
      <c r="C223" s="18"/>
      <c r="D223" s="18"/>
      <c r="E223" s="18"/>
      <c r="F223" s="18"/>
      <c r="G223" s="19"/>
      <c r="H223" s="27"/>
      <c r="I223" s="27"/>
      <c r="J223" s="27"/>
      <c r="K223" s="27"/>
      <c r="L223" s="27"/>
      <c r="M223" s="21"/>
      <c r="N223" s="27"/>
      <c r="O223" s="27"/>
      <c r="P223" s="27"/>
      <c r="Q223" s="27"/>
      <c r="R223" s="27"/>
      <c r="S223" s="21"/>
      <c r="T223" s="28"/>
      <c r="U223" s="28"/>
      <c r="V223" s="28"/>
      <c r="W223" s="28"/>
      <c r="X223" s="28"/>
      <c r="Y223" s="19"/>
      <c r="Z223" s="18"/>
      <c r="AE223" s="19"/>
      <c r="AH223" s="24"/>
      <c r="AI223" s="30"/>
      <c r="AJ223" s="30"/>
      <c r="AK223" s="30"/>
      <c r="AL223" s="24"/>
      <c r="AM223" s="24"/>
    </row>
    <row r="224" ht="15.75" customHeight="1">
      <c r="B224" s="18"/>
      <c r="C224" s="18"/>
      <c r="D224" s="18"/>
      <c r="E224" s="18"/>
      <c r="F224" s="18"/>
      <c r="G224" s="19"/>
      <c r="H224" s="27"/>
      <c r="I224" s="27"/>
      <c r="J224" s="27"/>
      <c r="K224" s="27"/>
      <c r="L224" s="27"/>
      <c r="M224" s="21"/>
      <c r="N224" s="27"/>
      <c r="O224" s="27"/>
      <c r="P224" s="27"/>
      <c r="Q224" s="27"/>
      <c r="R224" s="27"/>
      <c r="S224" s="21"/>
      <c r="T224" s="28"/>
      <c r="U224" s="28"/>
      <c r="V224" s="28"/>
      <c r="W224" s="28"/>
      <c r="X224" s="28"/>
      <c r="Y224" s="19"/>
      <c r="Z224" s="18"/>
      <c r="AE224" s="19"/>
      <c r="AH224" s="24"/>
      <c r="AI224" s="30"/>
      <c r="AJ224" s="30"/>
      <c r="AK224" s="30"/>
      <c r="AL224" s="24"/>
      <c r="AM224" s="24"/>
    </row>
    <row r="225" ht="15.75" customHeight="1">
      <c r="B225" s="18"/>
      <c r="C225" s="18"/>
      <c r="D225" s="18"/>
      <c r="E225" s="18"/>
      <c r="F225" s="18"/>
      <c r="G225" s="19"/>
      <c r="H225" s="27"/>
      <c r="I225" s="27"/>
      <c r="J225" s="27"/>
      <c r="K225" s="27"/>
      <c r="L225" s="27"/>
      <c r="M225" s="21"/>
      <c r="N225" s="27"/>
      <c r="O225" s="27"/>
      <c r="P225" s="27"/>
      <c r="Q225" s="27"/>
      <c r="R225" s="27"/>
      <c r="S225" s="21"/>
      <c r="T225" s="28"/>
      <c r="U225" s="28"/>
      <c r="V225" s="28"/>
      <c r="W225" s="28"/>
      <c r="X225" s="28"/>
      <c r="Y225" s="19"/>
      <c r="Z225" s="18"/>
      <c r="AE225" s="19"/>
      <c r="AH225" s="24"/>
      <c r="AI225" s="30"/>
      <c r="AJ225" s="30"/>
      <c r="AK225" s="30"/>
      <c r="AL225" s="24"/>
      <c r="AM225" s="24"/>
    </row>
    <row r="226" ht="15.75" customHeight="1">
      <c r="B226" s="18"/>
      <c r="C226" s="18"/>
      <c r="D226" s="18"/>
      <c r="E226" s="18"/>
      <c r="F226" s="18"/>
      <c r="G226" s="19"/>
      <c r="H226" s="27"/>
      <c r="I226" s="27"/>
      <c r="J226" s="27"/>
      <c r="K226" s="27"/>
      <c r="L226" s="27"/>
      <c r="M226" s="21"/>
      <c r="N226" s="27"/>
      <c r="O226" s="27"/>
      <c r="P226" s="27"/>
      <c r="Q226" s="27"/>
      <c r="R226" s="27"/>
      <c r="S226" s="21"/>
      <c r="T226" s="28"/>
      <c r="U226" s="28"/>
      <c r="V226" s="28"/>
      <c r="W226" s="28"/>
      <c r="X226" s="28"/>
      <c r="Y226" s="19"/>
      <c r="Z226" s="18"/>
      <c r="AE226" s="19"/>
      <c r="AH226" s="24"/>
      <c r="AI226" s="30"/>
      <c r="AJ226" s="30"/>
      <c r="AK226" s="30"/>
      <c r="AL226" s="24"/>
      <c r="AM226" s="24"/>
    </row>
    <row r="227" ht="15.75" customHeight="1">
      <c r="B227" s="18"/>
      <c r="C227" s="18"/>
      <c r="D227" s="18"/>
      <c r="E227" s="18"/>
      <c r="F227" s="18"/>
      <c r="G227" s="19"/>
      <c r="H227" s="27"/>
      <c r="I227" s="27"/>
      <c r="J227" s="27"/>
      <c r="K227" s="27"/>
      <c r="L227" s="27"/>
      <c r="M227" s="21"/>
      <c r="N227" s="27"/>
      <c r="O227" s="27"/>
      <c r="P227" s="27"/>
      <c r="Q227" s="27"/>
      <c r="R227" s="27"/>
      <c r="S227" s="21"/>
      <c r="T227" s="28"/>
      <c r="U227" s="28"/>
      <c r="V227" s="28"/>
      <c r="W227" s="28"/>
      <c r="X227" s="28"/>
      <c r="Y227" s="19"/>
      <c r="Z227" s="18"/>
      <c r="AE227" s="19"/>
      <c r="AH227" s="24"/>
      <c r="AI227" s="30"/>
      <c r="AJ227" s="30"/>
      <c r="AK227" s="30"/>
      <c r="AL227" s="24"/>
      <c r="AM227" s="24"/>
    </row>
    <row r="228" ht="15.75" customHeight="1">
      <c r="B228" s="18"/>
      <c r="C228" s="18"/>
      <c r="D228" s="18"/>
      <c r="E228" s="18"/>
      <c r="F228" s="18"/>
      <c r="G228" s="19"/>
      <c r="H228" s="27"/>
      <c r="I228" s="27"/>
      <c r="J228" s="27"/>
      <c r="K228" s="27"/>
      <c r="L228" s="27"/>
      <c r="M228" s="21"/>
      <c r="N228" s="27"/>
      <c r="O228" s="27"/>
      <c r="P228" s="27"/>
      <c r="Q228" s="27"/>
      <c r="R228" s="27"/>
      <c r="S228" s="21"/>
      <c r="T228" s="28"/>
      <c r="U228" s="28"/>
      <c r="V228" s="28"/>
      <c r="W228" s="28"/>
      <c r="X228" s="28"/>
      <c r="Y228" s="19"/>
      <c r="Z228" s="18"/>
      <c r="AE228" s="19"/>
      <c r="AH228" s="24"/>
      <c r="AI228" s="30"/>
      <c r="AJ228" s="30"/>
      <c r="AK228" s="30"/>
      <c r="AL228" s="24"/>
      <c r="AM228" s="24"/>
    </row>
    <row r="229" ht="15.75" customHeight="1">
      <c r="B229" s="18"/>
      <c r="C229" s="18"/>
      <c r="D229" s="18"/>
      <c r="E229" s="18"/>
      <c r="F229" s="18"/>
      <c r="G229" s="19"/>
      <c r="H229" s="27"/>
      <c r="I229" s="27"/>
      <c r="J229" s="27"/>
      <c r="K229" s="27"/>
      <c r="L229" s="27"/>
      <c r="M229" s="21"/>
      <c r="N229" s="27"/>
      <c r="O229" s="27"/>
      <c r="P229" s="27"/>
      <c r="Q229" s="27"/>
      <c r="R229" s="27"/>
      <c r="S229" s="21"/>
      <c r="T229" s="28"/>
      <c r="U229" s="28"/>
      <c r="V229" s="28"/>
      <c r="W229" s="28"/>
      <c r="X229" s="28"/>
      <c r="Y229" s="19"/>
      <c r="Z229" s="18"/>
      <c r="AE229" s="19"/>
      <c r="AH229" s="24"/>
      <c r="AI229" s="30"/>
      <c r="AJ229" s="30"/>
      <c r="AK229" s="30"/>
      <c r="AL229" s="24"/>
      <c r="AM229" s="24"/>
    </row>
    <row r="230" ht="15.75" customHeight="1">
      <c r="B230" s="18"/>
      <c r="C230" s="18"/>
      <c r="D230" s="18"/>
      <c r="E230" s="18"/>
      <c r="F230" s="18"/>
      <c r="G230" s="19"/>
      <c r="H230" s="27"/>
      <c r="I230" s="27"/>
      <c r="J230" s="27"/>
      <c r="K230" s="27"/>
      <c r="L230" s="27"/>
      <c r="M230" s="21"/>
      <c r="N230" s="27"/>
      <c r="O230" s="27"/>
      <c r="P230" s="27"/>
      <c r="Q230" s="27"/>
      <c r="R230" s="27"/>
      <c r="S230" s="21"/>
      <c r="T230" s="28"/>
      <c r="U230" s="28"/>
      <c r="V230" s="28"/>
      <c r="W230" s="28"/>
      <c r="X230" s="28"/>
      <c r="Y230" s="19"/>
      <c r="Z230" s="18"/>
      <c r="AE230" s="19"/>
      <c r="AH230" s="24"/>
      <c r="AI230" s="30"/>
      <c r="AJ230" s="30"/>
      <c r="AK230" s="30"/>
      <c r="AL230" s="24"/>
      <c r="AM230" s="24"/>
    </row>
    <row r="231" ht="15.75" customHeight="1">
      <c r="B231" s="18"/>
      <c r="C231" s="18"/>
      <c r="D231" s="18"/>
      <c r="E231" s="18"/>
      <c r="F231" s="18"/>
      <c r="G231" s="19"/>
      <c r="H231" s="27"/>
      <c r="I231" s="27"/>
      <c r="J231" s="27"/>
      <c r="K231" s="27"/>
      <c r="L231" s="27"/>
      <c r="M231" s="21"/>
      <c r="N231" s="27"/>
      <c r="O231" s="27"/>
      <c r="P231" s="27"/>
      <c r="Q231" s="27"/>
      <c r="R231" s="27"/>
      <c r="S231" s="21"/>
      <c r="T231" s="28"/>
      <c r="U231" s="28"/>
      <c r="V231" s="28"/>
      <c r="W231" s="28"/>
      <c r="X231" s="28"/>
      <c r="Y231" s="19"/>
      <c r="Z231" s="18"/>
      <c r="AE231" s="19"/>
      <c r="AH231" s="24"/>
      <c r="AI231" s="30"/>
      <c r="AJ231" s="30"/>
      <c r="AK231" s="30"/>
      <c r="AL231" s="24"/>
      <c r="AM231" s="24"/>
    </row>
    <row r="232" ht="15.75" customHeight="1">
      <c r="B232" s="18"/>
      <c r="C232" s="18"/>
      <c r="D232" s="18"/>
      <c r="E232" s="18"/>
      <c r="F232" s="18"/>
      <c r="G232" s="19"/>
      <c r="H232" s="27"/>
      <c r="I232" s="27"/>
      <c r="J232" s="27"/>
      <c r="K232" s="27"/>
      <c r="L232" s="27"/>
      <c r="M232" s="21"/>
      <c r="N232" s="27"/>
      <c r="O232" s="27"/>
      <c r="P232" s="27"/>
      <c r="Q232" s="27"/>
      <c r="R232" s="27"/>
      <c r="S232" s="21"/>
      <c r="T232" s="28"/>
      <c r="U232" s="28"/>
      <c r="V232" s="28"/>
      <c r="W232" s="28"/>
      <c r="X232" s="28"/>
      <c r="Y232" s="19"/>
      <c r="Z232" s="18"/>
      <c r="AE232" s="19"/>
      <c r="AH232" s="24"/>
      <c r="AI232" s="30"/>
      <c r="AJ232" s="30"/>
      <c r="AK232" s="30"/>
      <c r="AL232" s="24"/>
      <c r="AM232" s="24"/>
    </row>
    <row r="233" ht="15.75" customHeight="1">
      <c r="B233" s="18"/>
      <c r="C233" s="18"/>
      <c r="D233" s="18"/>
      <c r="E233" s="18"/>
      <c r="F233" s="18"/>
      <c r="G233" s="19"/>
      <c r="H233" s="27"/>
      <c r="I233" s="27"/>
      <c r="J233" s="27"/>
      <c r="K233" s="27"/>
      <c r="L233" s="27"/>
      <c r="M233" s="21"/>
      <c r="N233" s="27"/>
      <c r="O233" s="27"/>
      <c r="P233" s="27"/>
      <c r="Q233" s="27"/>
      <c r="R233" s="27"/>
      <c r="S233" s="21"/>
      <c r="T233" s="28"/>
      <c r="U233" s="28"/>
      <c r="V233" s="28"/>
      <c r="W233" s="28"/>
      <c r="X233" s="28"/>
      <c r="Y233" s="19"/>
      <c r="Z233" s="18"/>
      <c r="AE233" s="19"/>
      <c r="AH233" s="24"/>
      <c r="AI233" s="30"/>
      <c r="AJ233" s="30"/>
      <c r="AK233" s="30"/>
      <c r="AL233" s="24"/>
      <c r="AM233" s="2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39" width="18.13"/>
  </cols>
  <sheetData>
    <row r="1" ht="15.75" customHeight="1">
      <c r="A1" s="1" t="s">
        <v>0</v>
      </c>
      <c r="B1" s="3"/>
      <c r="C1" s="3"/>
      <c r="D1" s="3" t="s">
        <v>1</v>
      </c>
      <c r="E1" s="3"/>
      <c r="F1" s="3"/>
      <c r="G1" s="4"/>
      <c r="H1" s="5"/>
      <c r="I1" s="5"/>
      <c r="J1" s="5" t="s">
        <v>2</v>
      </c>
      <c r="K1" s="5"/>
      <c r="L1" s="5"/>
      <c r="M1" s="6"/>
      <c r="N1" s="5"/>
      <c r="O1" s="5"/>
      <c r="P1" s="5" t="s">
        <v>3</v>
      </c>
      <c r="Q1" s="5"/>
      <c r="R1" s="5"/>
      <c r="S1" s="6"/>
      <c r="T1" s="7"/>
      <c r="U1" s="7"/>
      <c r="V1" s="7"/>
      <c r="W1" s="7" t="s">
        <v>4</v>
      </c>
      <c r="X1" s="7"/>
      <c r="Y1" s="4"/>
      <c r="Z1" s="3"/>
      <c r="AA1" s="31"/>
      <c r="AB1" s="31" t="s">
        <v>5</v>
      </c>
      <c r="AC1" s="31"/>
      <c r="AD1" s="31"/>
      <c r="AE1" s="4"/>
      <c r="AF1" s="31"/>
      <c r="AG1" s="31"/>
      <c r="AH1" s="8"/>
      <c r="AI1" s="9"/>
      <c r="AJ1" s="9"/>
      <c r="AK1" s="9"/>
      <c r="AL1" s="8"/>
      <c r="AM1" s="8"/>
    </row>
    <row r="2" ht="15.75" customHeight="1">
      <c r="A2" s="10" t="s">
        <v>6</v>
      </c>
      <c r="B2" s="11" t="s">
        <v>32</v>
      </c>
      <c r="C2" s="11" t="s">
        <v>33</v>
      </c>
      <c r="D2" s="11" t="s">
        <v>34</v>
      </c>
      <c r="E2" s="11" t="s">
        <v>35</v>
      </c>
      <c r="F2" s="11" t="s">
        <v>36</v>
      </c>
      <c r="G2" s="4"/>
      <c r="H2" s="12" t="s">
        <v>37</v>
      </c>
      <c r="I2" s="12" t="s">
        <v>38</v>
      </c>
      <c r="J2" s="12" t="s">
        <v>39</v>
      </c>
      <c r="K2" s="12" t="s">
        <v>40</v>
      </c>
      <c r="L2" s="12" t="s">
        <v>41</v>
      </c>
      <c r="M2" s="6"/>
      <c r="N2" s="12" t="s">
        <v>42</v>
      </c>
      <c r="O2" s="12" t="s">
        <v>43</v>
      </c>
      <c r="P2" s="12" t="s">
        <v>44</v>
      </c>
      <c r="Q2" s="12" t="s">
        <v>45</v>
      </c>
      <c r="R2" s="12" t="s">
        <v>46</v>
      </c>
      <c r="S2" s="6"/>
      <c r="T2" s="12" t="s">
        <v>47</v>
      </c>
      <c r="U2" s="12" t="s">
        <v>48</v>
      </c>
      <c r="V2" s="12" t="s">
        <v>49</v>
      </c>
      <c r="W2" s="12" t="s">
        <v>50</v>
      </c>
      <c r="X2" s="12" t="s">
        <v>51</v>
      </c>
      <c r="Y2" s="4"/>
      <c r="Z2" s="11" t="s">
        <v>52</v>
      </c>
      <c r="AA2" s="13" t="s">
        <v>53</v>
      </c>
      <c r="AB2" s="13" t="s">
        <v>54</v>
      </c>
      <c r="AC2" s="13" t="s">
        <v>55</v>
      </c>
      <c r="AD2" s="13" t="s">
        <v>56</v>
      </c>
      <c r="AE2" s="4"/>
      <c r="AF2" s="10"/>
      <c r="AG2" s="10"/>
      <c r="AH2" s="14" t="s">
        <v>27</v>
      </c>
      <c r="AI2" s="15" t="s">
        <v>28</v>
      </c>
      <c r="AJ2" s="15" t="s">
        <v>29</v>
      </c>
      <c r="AK2" s="15" t="s">
        <v>30</v>
      </c>
      <c r="AL2" s="14" t="s">
        <v>31</v>
      </c>
      <c r="AM2" s="14" t="s">
        <v>5</v>
      </c>
    </row>
    <row r="3" ht="15.75" customHeight="1">
      <c r="A3" s="16">
        <v>35.0</v>
      </c>
      <c r="B3" s="18">
        <v>177.4</v>
      </c>
      <c r="C3" s="18">
        <v>403.8</v>
      </c>
      <c r="D3" s="18">
        <v>0.0</v>
      </c>
      <c r="E3" s="18">
        <v>245.0</v>
      </c>
      <c r="F3" s="18">
        <v>1100.4</v>
      </c>
      <c r="G3" s="19"/>
      <c r="H3" s="27">
        <v>425.0</v>
      </c>
      <c r="I3" s="27">
        <v>901.0</v>
      </c>
      <c r="J3" s="27"/>
      <c r="K3" s="27">
        <v>1004.0</v>
      </c>
      <c r="L3" s="27">
        <v>1048.0</v>
      </c>
      <c r="M3" s="21"/>
      <c r="N3" s="27">
        <v>258.0</v>
      </c>
      <c r="O3" s="27">
        <v>555.0</v>
      </c>
      <c r="P3" s="27"/>
      <c r="Q3" s="27">
        <v>558.0</v>
      </c>
      <c r="R3" s="27">
        <v>300.0</v>
      </c>
      <c r="S3" s="21"/>
      <c r="T3" s="28">
        <f t="shared" ref="T3:X3" si="1">if(H3&gt;0, N3/H3,"No installs")</f>
        <v>0.6070588235</v>
      </c>
      <c r="U3" s="28">
        <f t="shared" si="1"/>
        <v>0.615982242</v>
      </c>
      <c r="V3" s="28" t="str">
        <f t="shared" si="1"/>
        <v>No installs</v>
      </c>
      <c r="W3" s="28">
        <f t="shared" si="1"/>
        <v>0.5557768924</v>
      </c>
      <c r="X3" s="28">
        <f t="shared" si="1"/>
        <v>0.286259542</v>
      </c>
      <c r="Y3" s="19"/>
      <c r="Z3" s="29">
        <f t="shared" ref="Z3:AD3" si="2">if(N3&gt;0,B3/N3,"No SignUps")</f>
        <v>0.6875968992</v>
      </c>
      <c r="AA3" s="29">
        <f t="shared" si="2"/>
        <v>0.7275675676</v>
      </c>
      <c r="AB3" s="29" t="str">
        <f t="shared" si="2"/>
        <v>No SignUps</v>
      </c>
      <c r="AC3" s="29">
        <f t="shared" si="2"/>
        <v>0.4390681004</v>
      </c>
      <c r="AD3" s="29">
        <f t="shared" si="2"/>
        <v>3.668</v>
      </c>
      <c r="AE3" s="19"/>
      <c r="AF3" s="16"/>
      <c r="AG3" s="16"/>
      <c r="AH3" s="24">
        <f t="shared" ref="AH3:AH23" si="5">SUM(B3:F3)</f>
        <v>1926.6</v>
      </c>
      <c r="AI3" s="25">
        <f t="shared" ref="AI3:AI23" si="6">sum(H3:L3)</f>
        <v>3378</v>
      </c>
      <c r="AJ3" s="25">
        <f t="shared" ref="AJ3:AJ23" si="7">sum(N3:R3)</f>
        <v>1671</v>
      </c>
      <c r="AK3" s="26">
        <f t="shared" ref="AK3:AK23" si="8">AJ3/AI3</f>
        <v>0.4946714032</v>
      </c>
      <c r="AL3" s="24">
        <f t="shared" ref="AL3:AL23" si="9">AH3/AI3</f>
        <v>0.5703374778</v>
      </c>
      <c r="AM3" s="24">
        <f t="shared" ref="AM3:AM23" si="10">AH3/AJ3</f>
        <v>1.152962298</v>
      </c>
    </row>
    <row r="4" ht="15.75" customHeight="1">
      <c r="A4" s="16">
        <v>36.0</v>
      </c>
      <c r="B4" s="18">
        <v>665.0</v>
      </c>
      <c r="C4" s="18">
        <v>805.0</v>
      </c>
      <c r="D4" s="18">
        <v>206.0</v>
      </c>
      <c r="E4" s="18">
        <v>250.4</v>
      </c>
      <c r="F4" s="18">
        <v>1069.6</v>
      </c>
      <c r="G4" s="19"/>
      <c r="H4" s="27">
        <v>1491.0</v>
      </c>
      <c r="I4" s="27">
        <v>1986.0</v>
      </c>
      <c r="J4" s="27">
        <v>305.0</v>
      </c>
      <c r="K4" s="27">
        <v>1094.0</v>
      </c>
      <c r="L4" s="27">
        <v>1364.0</v>
      </c>
      <c r="M4" s="21"/>
      <c r="N4" s="27">
        <f>830+265</f>
        <v>1095</v>
      </c>
      <c r="O4" s="27">
        <f>8+13+414+712+48+87+2</f>
        <v>1284</v>
      </c>
      <c r="P4" s="27">
        <f>183+12</f>
        <v>195</v>
      </c>
      <c r="Q4" s="27">
        <f>118+97</f>
        <v>215</v>
      </c>
      <c r="R4" s="27">
        <v>427.0</v>
      </c>
      <c r="S4" s="21"/>
      <c r="T4" s="28">
        <f t="shared" ref="T4:X4" si="3">if(H4&gt;0, N4/H4,"No installs")</f>
        <v>0.7344064386</v>
      </c>
      <c r="U4" s="28">
        <f t="shared" si="3"/>
        <v>0.6465256798</v>
      </c>
      <c r="V4" s="28">
        <f t="shared" si="3"/>
        <v>0.6393442623</v>
      </c>
      <c r="W4" s="28">
        <f t="shared" si="3"/>
        <v>0.1965265082</v>
      </c>
      <c r="X4" s="28">
        <f t="shared" si="3"/>
        <v>0.3130498534</v>
      </c>
      <c r="Y4" s="19"/>
      <c r="Z4" s="29">
        <f t="shared" ref="Z4:AD4" si="4">if(N4&gt;0,B4/N4,"No SignUps")</f>
        <v>0.6073059361</v>
      </c>
      <c r="AA4" s="29">
        <f t="shared" si="4"/>
        <v>0.6269470405</v>
      </c>
      <c r="AB4" s="29">
        <f t="shared" si="4"/>
        <v>1.056410256</v>
      </c>
      <c r="AC4" s="29">
        <f t="shared" si="4"/>
        <v>1.164651163</v>
      </c>
      <c r="AD4" s="29">
        <f t="shared" si="4"/>
        <v>2.504918033</v>
      </c>
      <c r="AE4" s="19"/>
      <c r="AF4" s="16"/>
      <c r="AG4" s="16"/>
      <c r="AH4" s="24">
        <f t="shared" si="5"/>
        <v>2996</v>
      </c>
      <c r="AI4" s="25">
        <f t="shared" si="6"/>
        <v>6240</v>
      </c>
      <c r="AJ4" s="25">
        <f t="shared" si="7"/>
        <v>3216</v>
      </c>
      <c r="AK4" s="26">
        <f t="shared" si="8"/>
        <v>0.5153846154</v>
      </c>
      <c r="AL4" s="24">
        <f t="shared" si="9"/>
        <v>0.4801282051</v>
      </c>
      <c r="AM4" s="24">
        <f t="shared" si="10"/>
        <v>0.9315920398</v>
      </c>
    </row>
    <row r="5" ht="15.75" customHeight="1">
      <c r="A5" s="16">
        <v>37.0</v>
      </c>
      <c r="B5" s="18">
        <v>814.8</v>
      </c>
      <c r="C5" s="18">
        <v>956.4</v>
      </c>
      <c r="D5" s="18">
        <v>115.8</v>
      </c>
      <c r="E5" s="18">
        <v>184.8</v>
      </c>
      <c r="F5" s="18">
        <v>357.2</v>
      </c>
      <c r="G5" s="19"/>
      <c r="H5" s="27">
        <v>1714.0</v>
      </c>
      <c r="I5" s="27">
        <v>2380.0</v>
      </c>
      <c r="J5" s="27">
        <v>226.0</v>
      </c>
      <c r="K5" s="27">
        <v>843.0</v>
      </c>
      <c r="L5" s="27">
        <v>937.0</v>
      </c>
      <c r="M5" s="21"/>
      <c r="N5" s="27">
        <v>1387.0</v>
      </c>
      <c r="O5" s="27">
        <f>461+1121</f>
        <v>1582</v>
      </c>
      <c r="P5" s="27">
        <f>57+111</f>
        <v>168</v>
      </c>
      <c r="Q5" s="27">
        <f>8+113+1+3+1+3+375</f>
        <v>504</v>
      </c>
      <c r="R5" s="27">
        <f>300+67</f>
        <v>367</v>
      </c>
      <c r="S5" s="21"/>
      <c r="T5" s="28">
        <f t="shared" ref="T5:X5" si="11">if(H5&gt;0, N5/H5,"No installs")</f>
        <v>0.809218203</v>
      </c>
      <c r="U5" s="28">
        <f t="shared" si="11"/>
        <v>0.6647058824</v>
      </c>
      <c r="V5" s="28">
        <f t="shared" si="11"/>
        <v>0.7433628319</v>
      </c>
      <c r="W5" s="28">
        <f t="shared" si="11"/>
        <v>0.5978647687</v>
      </c>
      <c r="X5" s="28">
        <f t="shared" si="11"/>
        <v>0.3916755603</v>
      </c>
      <c r="Y5" s="19"/>
      <c r="Z5" s="29">
        <f t="shared" ref="Z5:AD5" si="12">if(N5&gt;0,B5/N5,"No SignUps")</f>
        <v>0.5874549387</v>
      </c>
      <c r="AA5" s="29">
        <f t="shared" si="12"/>
        <v>0.604551201</v>
      </c>
      <c r="AB5" s="29">
        <f t="shared" si="12"/>
        <v>0.6892857143</v>
      </c>
      <c r="AC5" s="29">
        <f t="shared" si="12"/>
        <v>0.3666666667</v>
      </c>
      <c r="AD5" s="29">
        <f t="shared" si="12"/>
        <v>0.9732970027</v>
      </c>
      <c r="AE5" s="19"/>
      <c r="AF5" s="16"/>
      <c r="AG5" s="16"/>
      <c r="AH5" s="24">
        <f t="shared" si="5"/>
        <v>2429</v>
      </c>
      <c r="AI5" s="25">
        <f t="shared" si="6"/>
        <v>6100</v>
      </c>
      <c r="AJ5" s="25">
        <f t="shared" si="7"/>
        <v>4008</v>
      </c>
      <c r="AK5" s="26">
        <f t="shared" si="8"/>
        <v>0.6570491803</v>
      </c>
      <c r="AL5" s="24">
        <f t="shared" si="9"/>
        <v>0.3981967213</v>
      </c>
      <c r="AM5" s="24">
        <f t="shared" si="10"/>
        <v>0.6060379242</v>
      </c>
    </row>
    <row r="6" ht="15.75" customHeight="1">
      <c r="A6" s="16">
        <v>38.0</v>
      </c>
      <c r="B6" s="18">
        <v>521.2</v>
      </c>
      <c r="C6" s="18">
        <v>544.6</v>
      </c>
      <c r="D6" s="18">
        <v>26.2</v>
      </c>
      <c r="E6" s="18">
        <v>286.2</v>
      </c>
      <c r="F6" s="18">
        <v>206.4</v>
      </c>
      <c r="G6" s="19"/>
      <c r="H6" s="27">
        <v>950.0</v>
      </c>
      <c r="I6" s="27">
        <v>1468.0</v>
      </c>
      <c r="J6" s="27">
        <v>57.0</v>
      </c>
      <c r="K6" s="27">
        <v>1169.0</v>
      </c>
      <c r="L6" s="27">
        <v>517.0</v>
      </c>
      <c r="M6" s="21"/>
      <c r="N6" s="27">
        <v>806.0</v>
      </c>
      <c r="O6" s="27">
        <f>279+2+1+746+2+2</f>
        <v>1032</v>
      </c>
      <c r="P6" s="27">
        <v>49.0</v>
      </c>
      <c r="Q6" s="27">
        <f>659+2+1+2</f>
        <v>664</v>
      </c>
      <c r="R6" s="27">
        <v>187.0</v>
      </c>
      <c r="S6" s="21"/>
      <c r="T6" s="28">
        <f t="shared" ref="T6:X6" si="13">if(H6&gt;0, N6/H6,"No installs")</f>
        <v>0.8484210526</v>
      </c>
      <c r="U6" s="28">
        <f t="shared" si="13"/>
        <v>0.7029972752</v>
      </c>
      <c r="V6" s="28">
        <f t="shared" si="13"/>
        <v>0.8596491228</v>
      </c>
      <c r="W6" s="28">
        <f t="shared" si="13"/>
        <v>0.5680068435</v>
      </c>
      <c r="X6" s="28">
        <f t="shared" si="13"/>
        <v>0.3617021277</v>
      </c>
      <c r="Y6" s="19"/>
      <c r="Z6" s="29">
        <f t="shared" ref="Z6:AD6" si="14">if(N6&gt;0,B6/N6,"No SignUps")</f>
        <v>0.6466501241</v>
      </c>
      <c r="AA6" s="29">
        <f t="shared" si="14"/>
        <v>0.5277131783</v>
      </c>
      <c r="AB6" s="29">
        <f t="shared" si="14"/>
        <v>0.5346938776</v>
      </c>
      <c r="AC6" s="29">
        <f t="shared" si="14"/>
        <v>0.4310240964</v>
      </c>
      <c r="AD6" s="29">
        <f t="shared" si="14"/>
        <v>1.103743316</v>
      </c>
      <c r="AE6" s="19"/>
      <c r="AF6" s="16"/>
      <c r="AG6" s="16"/>
      <c r="AH6" s="24">
        <f t="shared" si="5"/>
        <v>1584.6</v>
      </c>
      <c r="AI6" s="25">
        <f t="shared" si="6"/>
        <v>4161</v>
      </c>
      <c r="AJ6" s="25">
        <f t="shared" si="7"/>
        <v>2738</v>
      </c>
      <c r="AK6" s="26">
        <f t="shared" si="8"/>
        <v>0.6580149003</v>
      </c>
      <c r="AL6" s="24">
        <f t="shared" si="9"/>
        <v>0.3808219178</v>
      </c>
      <c r="AM6" s="24">
        <f t="shared" si="10"/>
        <v>0.5787436085</v>
      </c>
    </row>
    <row r="7" ht="15.75" customHeight="1">
      <c r="A7" s="16">
        <v>39.0</v>
      </c>
      <c r="B7" s="18">
        <v>351.4</v>
      </c>
      <c r="C7" s="18">
        <v>421.8</v>
      </c>
      <c r="D7" s="18">
        <v>26.2</v>
      </c>
      <c r="E7" s="18">
        <v>288.2</v>
      </c>
      <c r="F7" s="18">
        <v>153.2</v>
      </c>
      <c r="G7" s="19"/>
      <c r="H7" s="27">
        <v>687.0</v>
      </c>
      <c r="I7" s="27">
        <v>1220.0</v>
      </c>
      <c r="J7" s="27">
        <v>67.0</v>
      </c>
      <c r="K7" s="27">
        <v>1239.0</v>
      </c>
      <c r="L7" s="27">
        <v>594.0</v>
      </c>
      <c r="M7" s="21"/>
      <c r="N7" s="27">
        <v>542.0</v>
      </c>
      <c r="O7" s="27">
        <v>855.0</v>
      </c>
      <c r="P7" s="27">
        <v>57.0</v>
      </c>
      <c r="Q7" s="27">
        <v>695.0</v>
      </c>
      <c r="R7" s="27">
        <v>232.0</v>
      </c>
      <c r="S7" s="21"/>
      <c r="T7" s="28">
        <f t="shared" ref="T7:X7" si="15">if(H7&gt;0, N7/H7,"No installs")</f>
        <v>0.788937409</v>
      </c>
      <c r="U7" s="28">
        <f t="shared" si="15"/>
        <v>0.7008196721</v>
      </c>
      <c r="V7" s="28">
        <f t="shared" si="15"/>
        <v>0.8507462687</v>
      </c>
      <c r="W7" s="28">
        <f t="shared" si="15"/>
        <v>0.5609362389</v>
      </c>
      <c r="X7" s="28">
        <f t="shared" si="15"/>
        <v>0.3905723906</v>
      </c>
      <c r="Y7" s="19"/>
      <c r="Z7" s="29">
        <f t="shared" ref="Z7:AD7" si="16">if(N7&gt;0,B7/N7,"No SignUps")</f>
        <v>0.6483394834</v>
      </c>
      <c r="AA7" s="29">
        <f t="shared" si="16"/>
        <v>0.4933333333</v>
      </c>
      <c r="AB7" s="29">
        <f t="shared" si="16"/>
        <v>0.4596491228</v>
      </c>
      <c r="AC7" s="29">
        <f t="shared" si="16"/>
        <v>0.414676259</v>
      </c>
      <c r="AD7" s="29">
        <f t="shared" si="16"/>
        <v>0.6603448276</v>
      </c>
      <c r="AE7" s="19"/>
      <c r="AF7" s="16"/>
      <c r="AG7" s="16"/>
      <c r="AH7" s="24">
        <f t="shared" si="5"/>
        <v>1240.8</v>
      </c>
      <c r="AI7" s="25">
        <f t="shared" si="6"/>
        <v>3807</v>
      </c>
      <c r="AJ7" s="25">
        <f t="shared" si="7"/>
        <v>2381</v>
      </c>
      <c r="AK7" s="26">
        <f t="shared" si="8"/>
        <v>0.6254268453</v>
      </c>
      <c r="AL7" s="24">
        <f t="shared" si="9"/>
        <v>0.3259259259</v>
      </c>
      <c r="AM7" s="24">
        <f t="shared" si="10"/>
        <v>0.5211255775</v>
      </c>
    </row>
    <row r="8" ht="15.75" customHeight="1">
      <c r="A8" s="16">
        <v>40.0</v>
      </c>
      <c r="B8" s="18">
        <v>409.6</v>
      </c>
      <c r="C8" s="18">
        <v>530.8</v>
      </c>
      <c r="D8" s="18">
        <v>96.0</v>
      </c>
      <c r="E8" s="18">
        <v>326.4</v>
      </c>
      <c r="F8" s="18">
        <v>292.8</v>
      </c>
      <c r="G8" s="19"/>
      <c r="H8" s="27">
        <v>862.0</v>
      </c>
      <c r="I8" s="27">
        <v>1489.0</v>
      </c>
      <c r="J8" s="27">
        <v>244.0</v>
      </c>
      <c r="K8" s="27">
        <v>1334.0</v>
      </c>
      <c r="L8" s="27">
        <v>838.0</v>
      </c>
      <c r="M8" s="21"/>
      <c r="N8" s="27">
        <v>678.0</v>
      </c>
      <c r="O8" s="27">
        <v>1146.0</v>
      </c>
      <c r="P8" s="27">
        <v>173.0</v>
      </c>
      <c r="Q8" s="27">
        <v>782.0</v>
      </c>
      <c r="R8" s="27">
        <v>367.0</v>
      </c>
      <c r="S8" s="21"/>
      <c r="T8" s="28">
        <f t="shared" ref="T8:X8" si="17">if(H8&gt;0, N8/H8,"No installs")</f>
        <v>0.7865429234</v>
      </c>
      <c r="U8" s="28">
        <f t="shared" si="17"/>
        <v>0.7696440564</v>
      </c>
      <c r="V8" s="28">
        <f t="shared" si="17"/>
        <v>0.7090163934</v>
      </c>
      <c r="W8" s="28">
        <f t="shared" si="17"/>
        <v>0.5862068966</v>
      </c>
      <c r="X8" s="28">
        <f t="shared" si="17"/>
        <v>0.437947494</v>
      </c>
      <c r="Y8" s="19"/>
      <c r="Z8" s="29">
        <f t="shared" ref="Z8:AD8" si="18">if(N8&gt;0,B8/N8,"No SignUps")</f>
        <v>0.6041297935</v>
      </c>
      <c r="AA8" s="29">
        <f t="shared" si="18"/>
        <v>0.4631762653</v>
      </c>
      <c r="AB8" s="29">
        <f t="shared" si="18"/>
        <v>0.5549132948</v>
      </c>
      <c r="AC8" s="29">
        <f t="shared" si="18"/>
        <v>0.4173913043</v>
      </c>
      <c r="AD8" s="29">
        <f t="shared" si="18"/>
        <v>0.7978201635</v>
      </c>
      <c r="AE8" s="19"/>
      <c r="AF8" s="16"/>
      <c r="AG8" s="16"/>
      <c r="AH8" s="24">
        <f t="shared" si="5"/>
        <v>1655.6</v>
      </c>
      <c r="AI8" s="25">
        <f t="shared" si="6"/>
        <v>4767</v>
      </c>
      <c r="AJ8" s="25">
        <f t="shared" si="7"/>
        <v>3146</v>
      </c>
      <c r="AK8" s="26">
        <f t="shared" si="8"/>
        <v>0.6599538494</v>
      </c>
      <c r="AL8" s="24">
        <f t="shared" si="9"/>
        <v>0.3473043843</v>
      </c>
      <c r="AM8" s="24">
        <f t="shared" si="10"/>
        <v>0.5262555626</v>
      </c>
    </row>
    <row r="9" ht="15.75" customHeight="1">
      <c r="A9" s="16">
        <v>41.0</v>
      </c>
      <c r="B9" s="33">
        <v>415.0</v>
      </c>
      <c r="C9" s="33">
        <v>506.0</v>
      </c>
      <c r="D9" s="33">
        <v>46.8</v>
      </c>
      <c r="E9" s="33">
        <v>273.6</v>
      </c>
      <c r="F9" s="33">
        <v>395.6</v>
      </c>
      <c r="G9" s="19"/>
      <c r="H9" s="34">
        <v>870.0</v>
      </c>
      <c r="I9" s="35">
        <v>1408.0</v>
      </c>
      <c r="J9" s="34">
        <v>77.0</v>
      </c>
      <c r="K9" s="35">
        <v>1096.0</v>
      </c>
      <c r="L9" s="35">
        <v>1106.0</v>
      </c>
      <c r="M9" s="21"/>
      <c r="N9" s="34">
        <v>672.0</v>
      </c>
      <c r="O9" s="35">
        <v>1040.0</v>
      </c>
      <c r="P9" s="34">
        <v>81.0</v>
      </c>
      <c r="Q9" s="34">
        <v>599.0</v>
      </c>
      <c r="R9" s="34">
        <v>514.0</v>
      </c>
      <c r="S9" s="21"/>
      <c r="T9" s="28">
        <f t="shared" ref="T9:X9" si="19">if(H9&gt;0, N9/H9,"No installs")</f>
        <v>0.7724137931</v>
      </c>
      <c r="U9" s="28">
        <f t="shared" si="19"/>
        <v>0.7386363636</v>
      </c>
      <c r="V9" s="28">
        <f t="shared" si="19"/>
        <v>1.051948052</v>
      </c>
      <c r="W9" s="28">
        <f t="shared" si="19"/>
        <v>0.5465328467</v>
      </c>
      <c r="X9" s="28">
        <f t="shared" si="19"/>
        <v>0.4647377939</v>
      </c>
      <c r="Y9" s="19"/>
      <c r="Z9" s="29">
        <f t="shared" ref="Z9:AD9" si="20">if(N9&gt;0,B9/N9,"No SignUps")</f>
        <v>0.6175595238</v>
      </c>
      <c r="AA9" s="29">
        <f t="shared" si="20"/>
        <v>0.4865384615</v>
      </c>
      <c r="AB9" s="29">
        <f t="shared" si="20"/>
        <v>0.5777777778</v>
      </c>
      <c r="AC9" s="29">
        <f t="shared" si="20"/>
        <v>0.4567612688</v>
      </c>
      <c r="AD9" s="29">
        <f t="shared" si="20"/>
        <v>0.7696498054</v>
      </c>
      <c r="AE9" s="19"/>
      <c r="AH9" s="24">
        <f t="shared" si="5"/>
        <v>1637</v>
      </c>
      <c r="AI9" s="25">
        <f t="shared" si="6"/>
        <v>4557</v>
      </c>
      <c r="AJ9" s="25">
        <f t="shared" si="7"/>
        <v>2906</v>
      </c>
      <c r="AK9" s="26">
        <f t="shared" si="8"/>
        <v>0.6377002414</v>
      </c>
      <c r="AL9" s="24">
        <f t="shared" si="9"/>
        <v>0.359227562</v>
      </c>
      <c r="AM9" s="24">
        <f t="shared" si="10"/>
        <v>0.5633172746</v>
      </c>
    </row>
    <row r="10" ht="15.75" customHeight="1">
      <c r="A10" s="16">
        <v>42.0</v>
      </c>
      <c r="B10" s="18">
        <v>386.0</v>
      </c>
      <c r="C10" s="18">
        <v>504.0</v>
      </c>
      <c r="D10" s="18">
        <v>10.0</v>
      </c>
      <c r="E10" s="18">
        <v>389.4</v>
      </c>
      <c r="F10" s="18">
        <v>245.6</v>
      </c>
      <c r="G10" s="19"/>
      <c r="H10" s="27">
        <v>835.0</v>
      </c>
      <c r="I10" s="27">
        <v>1504.0</v>
      </c>
      <c r="J10" s="27">
        <v>60.0</v>
      </c>
      <c r="K10" s="27">
        <v>1516.0</v>
      </c>
      <c r="L10" s="27">
        <v>818.0</v>
      </c>
      <c r="M10" s="21"/>
      <c r="N10" s="27">
        <v>623.0</v>
      </c>
      <c r="O10" s="27">
        <v>1077.0</v>
      </c>
      <c r="P10" s="27">
        <v>28.0</v>
      </c>
      <c r="Q10" s="27">
        <v>715.0</v>
      </c>
      <c r="R10" s="27">
        <v>368.0</v>
      </c>
      <c r="S10" s="21"/>
      <c r="T10" s="28">
        <f t="shared" ref="T10:X10" si="21">if(H10&gt;0, N10/H10,"No installs")</f>
        <v>0.7461077844</v>
      </c>
      <c r="U10" s="28">
        <f t="shared" si="21"/>
        <v>0.7160904255</v>
      </c>
      <c r="V10" s="28">
        <f t="shared" si="21"/>
        <v>0.4666666667</v>
      </c>
      <c r="W10" s="28">
        <f t="shared" si="21"/>
        <v>0.4716358839</v>
      </c>
      <c r="X10" s="28">
        <f t="shared" si="21"/>
        <v>0.4498777506</v>
      </c>
      <c r="Y10" s="19"/>
      <c r="Z10" s="29">
        <f t="shared" ref="Z10:AD10" si="22">if(N10&gt;0,B10/N10,"No SignUps")</f>
        <v>0.6195826645</v>
      </c>
      <c r="AA10" s="29">
        <f t="shared" si="22"/>
        <v>0.4679665738</v>
      </c>
      <c r="AB10" s="29">
        <f t="shared" si="22"/>
        <v>0.3571428571</v>
      </c>
      <c r="AC10" s="29">
        <f t="shared" si="22"/>
        <v>0.5446153846</v>
      </c>
      <c r="AD10" s="29">
        <f t="shared" si="22"/>
        <v>0.6673913043</v>
      </c>
      <c r="AE10" s="19"/>
      <c r="AF10" s="16"/>
      <c r="AG10" s="16"/>
      <c r="AH10" s="24">
        <f t="shared" si="5"/>
        <v>1535</v>
      </c>
      <c r="AI10" s="25">
        <f t="shared" si="6"/>
        <v>4733</v>
      </c>
      <c r="AJ10" s="25">
        <f t="shared" si="7"/>
        <v>2811</v>
      </c>
      <c r="AK10" s="26">
        <f t="shared" si="8"/>
        <v>0.5939150644</v>
      </c>
      <c r="AL10" s="24">
        <f t="shared" si="9"/>
        <v>0.324318614</v>
      </c>
      <c r="AM10" s="24">
        <f t="shared" si="10"/>
        <v>0.5460690146</v>
      </c>
    </row>
    <row r="11" ht="15.75" customHeight="1">
      <c r="A11" s="16">
        <v>43.0</v>
      </c>
      <c r="B11" s="18">
        <v>377.6</v>
      </c>
      <c r="C11" s="18">
        <v>407.6</v>
      </c>
      <c r="D11" s="18">
        <v>6.4</v>
      </c>
      <c r="E11" s="18">
        <v>425.2</v>
      </c>
      <c r="F11" s="18">
        <v>304.6</v>
      </c>
      <c r="G11" s="19"/>
      <c r="H11" s="27">
        <v>813.0</v>
      </c>
      <c r="I11" s="27">
        <v>1199.0</v>
      </c>
      <c r="J11" s="27">
        <v>35.0</v>
      </c>
      <c r="K11" s="27">
        <v>1670.0</v>
      </c>
      <c r="L11" s="27">
        <v>999.0</v>
      </c>
      <c r="M11" s="21"/>
      <c r="N11" s="27">
        <v>600.0</v>
      </c>
      <c r="O11" s="27">
        <v>847.0</v>
      </c>
      <c r="P11" s="27">
        <v>17.0</v>
      </c>
      <c r="Q11" s="27">
        <v>819.0</v>
      </c>
      <c r="R11" s="27">
        <v>444.0</v>
      </c>
      <c r="S11" s="21"/>
      <c r="T11" s="28">
        <f t="shared" ref="T11:X11" si="23">if(H11&gt;0, N11/H11,"No installs")</f>
        <v>0.7380073801</v>
      </c>
      <c r="U11" s="28">
        <f t="shared" si="23"/>
        <v>0.7064220183</v>
      </c>
      <c r="V11" s="28">
        <f t="shared" si="23"/>
        <v>0.4857142857</v>
      </c>
      <c r="W11" s="28">
        <f t="shared" si="23"/>
        <v>0.4904191617</v>
      </c>
      <c r="X11" s="28">
        <f t="shared" si="23"/>
        <v>0.4444444444</v>
      </c>
      <c r="Y11" s="19"/>
      <c r="Z11" s="29">
        <f t="shared" ref="Z11:AD11" si="24">if(N11&gt;0,B11/N11,"No SignUps")</f>
        <v>0.6293333333</v>
      </c>
      <c r="AA11" s="29">
        <f t="shared" si="24"/>
        <v>0.481227863</v>
      </c>
      <c r="AB11" s="29">
        <f t="shared" si="24"/>
        <v>0.3764705882</v>
      </c>
      <c r="AC11" s="29">
        <f t="shared" si="24"/>
        <v>0.5191697192</v>
      </c>
      <c r="AD11" s="29">
        <f t="shared" si="24"/>
        <v>0.686036036</v>
      </c>
      <c r="AE11" s="19"/>
      <c r="AF11" s="16"/>
      <c r="AG11" s="16"/>
      <c r="AH11" s="24">
        <f t="shared" si="5"/>
        <v>1521.4</v>
      </c>
      <c r="AI11" s="25">
        <f t="shared" si="6"/>
        <v>4716</v>
      </c>
      <c r="AJ11" s="25">
        <f t="shared" si="7"/>
        <v>2727</v>
      </c>
      <c r="AK11" s="26">
        <f t="shared" si="8"/>
        <v>0.5782442748</v>
      </c>
      <c r="AL11" s="24">
        <f t="shared" si="9"/>
        <v>0.3226039016</v>
      </c>
      <c r="AM11" s="24">
        <f t="shared" si="10"/>
        <v>0.5579024569</v>
      </c>
    </row>
    <row r="12" ht="15.75" customHeight="1">
      <c r="A12" s="16">
        <v>44.0</v>
      </c>
      <c r="B12" s="18">
        <v>397.2</v>
      </c>
      <c r="C12" s="18">
        <v>426.0</v>
      </c>
      <c r="D12" s="18">
        <v>9.4</v>
      </c>
      <c r="E12" s="18">
        <v>513.4</v>
      </c>
      <c r="F12" s="18">
        <v>356.0</v>
      </c>
      <c r="G12" s="19"/>
      <c r="H12" s="27">
        <v>874.0</v>
      </c>
      <c r="I12" s="27">
        <v>1269.0</v>
      </c>
      <c r="J12" s="27">
        <v>33.0</v>
      </c>
      <c r="K12" s="27">
        <v>1996.0</v>
      </c>
      <c r="L12" s="27">
        <v>1045.0</v>
      </c>
      <c r="M12" s="21"/>
      <c r="N12" s="27">
        <v>658.0</v>
      </c>
      <c r="O12" s="27">
        <v>890.0</v>
      </c>
      <c r="P12" s="27">
        <v>13.0</v>
      </c>
      <c r="Q12" s="27">
        <v>891.0</v>
      </c>
      <c r="R12" s="27">
        <v>481.0</v>
      </c>
      <c r="S12" s="21"/>
      <c r="T12" s="28">
        <f t="shared" ref="T12:X12" si="25">if(H12&gt;0, N12/H12,"No installs")</f>
        <v>0.7528604119</v>
      </c>
      <c r="U12" s="28">
        <f t="shared" si="25"/>
        <v>0.7013396375</v>
      </c>
      <c r="V12" s="28">
        <f t="shared" si="25"/>
        <v>0.3939393939</v>
      </c>
      <c r="W12" s="28">
        <f t="shared" si="25"/>
        <v>0.4463927856</v>
      </c>
      <c r="X12" s="28">
        <f t="shared" si="25"/>
        <v>0.4602870813</v>
      </c>
      <c r="Y12" s="19"/>
      <c r="Z12" s="29">
        <f t="shared" ref="Z12:AD12" si="26">if(N12&gt;0,B12/N12,"No SignUps")</f>
        <v>0.6036474164</v>
      </c>
      <c r="AA12" s="29">
        <f t="shared" si="26"/>
        <v>0.4786516854</v>
      </c>
      <c r="AB12" s="29">
        <f t="shared" si="26"/>
        <v>0.7230769231</v>
      </c>
      <c r="AC12" s="29">
        <f t="shared" si="26"/>
        <v>0.5762065095</v>
      </c>
      <c r="AD12" s="29">
        <f t="shared" si="26"/>
        <v>0.7401247401</v>
      </c>
      <c r="AE12" s="19"/>
      <c r="AF12" s="16"/>
      <c r="AG12" s="16"/>
      <c r="AH12" s="24">
        <f t="shared" si="5"/>
        <v>1702</v>
      </c>
      <c r="AI12" s="25">
        <f t="shared" si="6"/>
        <v>5217</v>
      </c>
      <c r="AJ12" s="25">
        <f t="shared" si="7"/>
        <v>2933</v>
      </c>
      <c r="AK12" s="26">
        <f t="shared" si="8"/>
        <v>0.5622004984</v>
      </c>
      <c r="AL12" s="24">
        <f t="shared" si="9"/>
        <v>0.3262411348</v>
      </c>
      <c r="AM12" s="24">
        <f t="shared" si="10"/>
        <v>0.5802932151</v>
      </c>
    </row>
    <row r="13" ht="15.75" customHeight="1">
      <c r="A13" s="16">
        <v>45.0</v>
      </c>
      <c r="B13" s="18">
        <v>344.8</v>
      </c>
      <c r="C13" s="18">
        <v>439.2</v>
      </c>
      <c r="D13" s="18">
        <v>20.4</v>
      </c>
      <c r="E13" s="18">
        <v>559.4</v>
      </c>
      <c r="F13" s="18">
        <v>317.6</v>
      </c>
      <c r="G13" s="19"/>
      <c r="H13" s="27">
        <v>751.0</v>
      </c>
      <c r="I13" s="27">
        <v>1312.0</v>
      </c>
      <c r="J13" s="27">
        <v>45.0</v>
      </c>
      <c r="K13" s="27">
        <v>2088.0</v>
      </c>
      <c r="L13" s="27">
        <v>1062.0</v>
      </c>
      <c r="M13" s="21"/>
      <c r="N13" s="27">
        <v>585.0</v>
      </c>
      <c r="O13" s="27">
        <v>985.0</v>
      </c>
      <c r="P13" s="27">
        <v>3.0</v>
      </c>
      <c r="Q13" s="27">
        <v>948.0</v>
      </c>
      <c r="R13" s="27">
        <v>478.0</v>
      </c>
      <c r="S13" s="21"/>
      <c r="T13" s="28">
        <f t="shared" ref="T13:X13" si="27">if(H13&gt;0, N13/H13,"No installs")</f>
        <v>0.7789613848</v>
      </c>
      <c r="U13" s="28">
        <f t="shared" si="27"/>
        <v>0.7507621951</v>
      </c>
      <c r="V13" s="28">
        <f t="shared" si="27"/>
        <v>0.06666666667</v>
      </c>
      <c r="W13" s="28">
        <f t="shared" si="27"/>
        <v>0.4540229885</v>
      </c>
      <c r="X13" s="28">
        <f t="shared" si="27"/>
        <v>0.450094162</v>
      </c>
      <c r="Y13" s="19"/>
      <c r="Z13" s="29">
        <f t="shared" ref="Z13:AD13" si="28">if(N13&gt;0,B13/N13,"No SignUps")</f>
        <v>0.5894017094</v>
      </c>
      <c r="AA13" s="29">
        <f t="shared" si="28"/>
        <v>0.4458883249</v>
      </c>
      <c r="AB13" s="29">
        <f t="shared" si="28"/>
        <v>6.8</v>
      </c>
      <c r="AC13" s="29">
        <f t="shared" si="28"/>
        <v>0.5900843882</v>
      </c>
      <c r="AD13" s="29">
        <f t="shared" si="28"/>
        <v>0.6644351464</v>
      </c>
      <c r="AE13" s="19"/>
      <c r="AF13" s="16"/>
      <c r="AG13" s="16"/>
      <c r="AH13" s="24">
        <f t="shared" si="5"/>
        <v>1681.4</v>
      </c>
      <c r="AI13" s="25">
        <f t="shared" si="6"/>
        <v>5258</v>
      </c>
      <c r="AJ13" s="25">
        <f t="shared" si="7"/>
        <v>2999</v>
      </c>
      <c r="AK13" s="26">
        <f t="shared" si="8"/>
        <v>0.5703689616</v>
      </c>
      <c r="AL13" s="24">
        <f t="shared" si="9"/>
        <v>0.3197793838</v>
      </c>
      <c r="AM13" s="24">
        <f t="shared" si="10"/>
        <v>0.5606535512</v>
      </c>
    </row>
    <row r="14" ht="15.75" customHeight="1">
      <c r="A14" s="16">
        <v>46.0</v>
      </c>
      <c r="B14" s="18">
        <v>325.8</v>
      </c>
      <c r="C14" s="18">
        <v>313.8</v>
      </c>
      <c r="D14" s="18">
        <v>575.0</v>
      </c>
      <c r="E14" s="18">
        <v>280.2</v>
      </c>
      <c r="F14" s="18">
        <v>387.8</v>
      </c>
      <c r="G14" s="19"/>
      <c r="H14" s="27">
        <v>792.0</v>
      </c>
      <c r="I14" s="27">
        <v>929.0</v>
      </c>
      <c r="J14" s="27">
        <v>1003.0</v>
      </c>
      <c r="K14" s="27">
        <v>1176.0</v>
      </c>
      <c r="L14" s="27">
        <v>1198.0</v>
      </c>
      <c r="M14" s="21"/>
      <c r="N14" s="27">
        <v>601.0</v>
      </c>
      <c r="O14" s="27">
        <v>681.0</v>
      </c>
      <c r="P14" s="27">
        <v>607.0</v>
      </c>
      <c r="Q14" s="27">
        <v>576.0</v>
      </c>
      <c r="R14" s="27">
        <v>521.0</v>
      </c>
      <c r="S14" s="21"/>
      <c r="T14" s="28">
        <f t="shared" ref="T14:X14" si="29">if(H14&gt;0, N14/H14,"No installs")</f>
        <v>0.7588383838</v>
      </c>
      <c r="U14" s="28">
        <f t="shared" si="29"/>
        <v>0.7330462863</v>
      </c>
      <c r="V14" s="28">
        <f t="shared" si="29"/>
        <v>0.6051844467</v>
      </c>
      <c r="W14" s="28">
        <f t="shared" si="29"/>
        <v>0.4897959184</v>
      </c>
      <c r="X14" s="28">
        <f t="shared" si="29"/>
        <v>0.4348914858</v>
      </c>
      <c r="Y14" s="19"/>
      <c r="Z14" s="29">
        <f t="shared" ref="Z14:AD14" si="30">if(N14&gt;0,B14/N14,"No SignUps")</f>
        <v>0.5420965058</v>
      </c>
      <c r="AA14" s="29">
        <f t="shared" si="30"/>
        <v>0.4607929515</v>
      </c>
      <c r="AB14" s="29">
        <f t="shared" si="30"/>
        <v>0.9472817133</v>
      </c>
      <c r="AC14" s="29">
        <f t="shared" si="30"/>
        <v>0.4864583333</v>
      </c>
      <c r="AD14" s="29">
        <f t="shared" si="30"/>
        <v>0.7443378119</v>
      </c>
      <c r="AE14" s="19"/>
      <c r="AF14" s="16"/>
      <c r="AG14" s="16"/>
      <c r="AH14" s="24">
        <f t="shared" si="5"/>
        <v>1882.6</v>
      </c>
      <c r="AI14" s="25">
        <f t="shared" si="6"/>
        <v>5098</v>
      </c>
      <c r="AJ14" s="25">
        <f t="shared" si="7"/>
        <v>2986</v>
      </c>
      <c r="AK14" s="26">
        <f t="shared" si="8"/>
        <v>0.5857198902</v>
      </c>
      <c r="AL14" s="24">
        <f t="shared" si="9"/>
        <v>0.3692820714</v>
      </c>
      <c r="AM14" s="24">
        <f t="shared" si="10"/>
        <v>0.6304755526</v>
      </c>
    </row>
    <row r="15" ht="15.75" customHeight="1">
      <c r="A15" s="16">
        <v>47.0</v>
      </c>
      <c r="B15" s="18">
        <v>194.4</v>
      </c>
      <c r="C15" s="18">
        <v>260.0</v>
      </c>
      <c r="D15" s="18">
        <v>632.4</v>
      </c>
      <c r="E15" s="18">
        <v>161.0</v>
      </c>
      <c r="F15" s="18">
        <v>415.4</v>
      </c>
      <c r="G15" s="19"/>
      <c r="H15" s="27">
        <v>417.0</v>
      </c>
      <c r="I15" s="27">
        <v>718.0</v>
      </c>
      <c r="J15" s="27">
        <v>1041.0</v>
      </c>
      <c r="K15" s="27">
        <v>806.0</v>
      </c>
      <c r="L15" s="27">
        <v>1269.0</v>
      </c>
      <c r="M15" s="21"/>
      <c r="N15" s="27">
        <v>318.0</v>
      </c>
      <c r="O15" s="27">
        <v>495.0</v>
      </c>
      <c r="P15" s="27">
        <v>717.0</v>
      </c>
      <c r="Q15" s="27">
        <v>377.0</v>
      </c>
      <c r="R15" s="27">
        <v>538.0</v>
      </c>
      <c r="S15" s="21"/>
      <c r="T15" s="28">
        <f t="shared" ref="T15:X15" si="31">if(H15&gt;0, N15/H15,"No installs")</f>
        <v>0.7625899281</v>
      </c>
      <c r="U15" s="28">
        <f t="shared" si="31"/>
        <v>0.6894150418</v>
      </c>
      <c r="V15" s="28">
        <f t="shared" si="31"/>
        <v>0.6887608069</v>
      </c>
      <c r="W15" s="28">
        <f t="shared" si="31"/>
        <v>0.4677419355</v>
      </c>
      <c r="X15" s="28">
        <f t="shared" si="31"/>
        <v>0.4239558708</v>
      </c>
      <c r="Y15" s="19"/>
      <c r="Z15" s="29">
        <f t="shared" ref="Z15:AD15" si="32">if(N15&gt;0,B15/N15,"No SignUps")</f>
        <v>0.6113207547</v>
      </c>
      <c r="AA15" s="29">
        <f t="shared" si="32"/>
        <v>0.5252525253</v>
      </c>
      <c r="AB15" s="29">
        <f t="shared" si="32"/>
        <v>0.8820083682</v>
      </c>
      <c r="AC15" s="29">
        <f t="shared" si="32"/>
        <v>0.4270557029</v>
      </c>
      <c r="AD15" s="29">
        <f t="shared" si="32"/>
        <v>0.7721189591</v>
      </c>
      <c r="AE15" s="19"/>
      <c r="AF15" s="16"/>
      <c r="AG15" s="16"/>
      <c r="AH15" s="24">
        <f t="shared" si="5"/>
        <v>1663.2</v>
      </c>
      <c r="AI15" s="25">
        <f t="shared" si="6"/>
        <v>4251</v>
      </c>
      <c r="AJ15" s="25">
        <f t="shared" si="7"/>
        <v>2445</v>
      </c>
      <c r="AK15" s="26">
        <f t="shared" si="8"/>
        <v>0.5751587862</v>
      </c>
      <c r="AL15" s="24">
        <f t="shared" si="9"/>
        <v>0.3912491179</v>
      </c>
      <c r="AM15" s="24">
        <f t="shared" si="10"/>
        <v>0.6802453988</v>
      </c>
    </row>
    <row r="16" ht="15.75" customHeight="1">
      <c r="A16" s="16">
        <v>48.0</v>
      </c>
      <c r="B16" s="18">
        <v>215.6</v>
      </c>
      <c r="C16" s="18">
        <v>319.8</v>
      </c>
      <c r="D16" s="18">
        <v>221.0</v>
      </c>
      <c r="E16" s="18">
        <v>222.0</v>
      </c>
      <c r="F16" s="18">
        <v>372.8</v>
      </c>
      <c r="G16" s="19"/>
      <c r="H16" s="27">
        <v>425.0</v>
      </c>
      <c r="I16" s="27">
        <v>932.0</v>
      </c>
      <c r="J16" s="27">
        <v>366.0</v>
      </c>
      <c r="K16" s="27">
        <v>1049.0</v>
      </c>
      <c r="L16" s="27">
        <v>1109.0</v>
      </c>
      <c r="M16" s="21"/>
      <c r="N16" s="27">
        <v>329.0</v>
      </c>
      <c r="O16" s="27">
        <v>694.0</v>
      </c>
      <c r="P16" s="27">
        <v>235.0</v>
      </c>
      <c r="Q16" s="27">
        <v>495.0</v>
      </c>
      <c r="R16" s="27">
        <v>485.0</v>
      </c>
      <c r="S16" s="21"/>
      <c r="T16" s="28">
        <f t="shared" ref="T16:X16" si="33">if(H16&gt;0, N16/H16,"No installs")</f>
        <v>0.7741176471</v>
      </c>
      <c r="U16" s="28">
        <f t="shared" si="33"/>
        <v>0.7446351931</v>
      </c>
      <c r="V16" s="28">
        <f t="shared" si="33"/>
        <v>0.6420765027</v>
      </c>
      <c r="W16" s="28">
        <f t="shared" si="33"/>
        <v>0.471877979</v>
      </c>
      <c r="X16" s="28">
        <f t="shared" si="33"/>
        <v>0.4373309288</v>
      </c>
      <c r="Y16" s="19"/>
      <c r="Z16" s="29">
        <f t="shared" ref="Z16:AD16" si="34">if(N16&gt;0,B16/N16,"No SignUps")</f>
        <v>0.6553191489</v>
      </c>
      <c r="AA16" s="29">
        <f t="shared" si="34"/>
        <v>0.4608069164</v>
      </c>
      <c r="AB16" s="29">
        <f t="shared" si="34"/>
        <v>0.9404255319</v>
      </c>
      <c r="AC16" s="29">
        <f t="shared" si="34"/>
        <v>0.4484848485</v>
      </c>
      <c r="AD16" s="29">
        <f t="shared" si="34"/>
        <v>0.7686597938</v>
      </c>
      <c r="AE16" s="19"/>
      <c r="AF16" s="16"/>
      <c r="AG16" s="16"/>
      <c r="AH16" s="24">
        <f t="shared" si="5"/>
        <v>1351.2</v>
      </c>
      <c r="AI16" s="25">
        <f t="shared" si="6"/>
        <v>3881</v>
      </c>
      <c r="AJ16" s="25">
        <f t="shared" si="7"/>
        <v>2238</v>
      </c>
      <c r="AK16" s="26">
        <f t="shared" si="8"/>
        <v>0.5766555012</v>
      </c>
      <c r="AL16" s="24">
        <f t="shared" si="9"/>
        <v>0.3481576913</v>
      </c>
      <c r="AM16" s="24">
        <f t="shared" si="10"/>
        <v>0.6037533512</v>
      </c>
    </row>
    <row r="17" ht="15.75" customHeight="1">
      <c r="A17" s="16">
        <v>49.0</v>
      </c>
      <c r="B17" s="18">
        <v>153.2</v>
      </c>
      <c r="C17" s="18">
        <v>261.2</v>
      </c>
      <c r="D17" s="18">
        <v>168.0</v>
      </c>
      <c r="E17" s="18">
        <v>171.8</v>
      </c>
      <c r="F17" s="18">
        <v>362.0</v>
      </c>
      <c r="G17" s="19"/>
      <c r="H17" s="27">
        <v>299.0</v>
      </c>
      <c r="I17" s="27">
        <v>758.0</v>
      </c>
      <c r="J17" s="27">
        <v>274.0</v>
      </c>
      <c r="K17" s="27">
        <v>836.0</v>
      </c>
      <c r="L17" s="27">
        <v>2492.0</v>
      </c>
      <c r="M17" s="21"/>
      <c r="N17" s="27">
        <v>225.0</v>
      </c>
      <c r="O17" s="27">
        <v>574.0</v>
      </c>
      <c r="P17" s="27">
        <v>164.0</v>
      </c>
      <c r="Q17" s="27">
        <v>441.0</v>
      </c>
      <c r="R17" s="27">
        <v>410.0</v>
      </c>
      <c r="S17" s="21"/>
      <c r="T17" s="28">
        <f t="shared" ref="T17:X17" si="35">if(H17&gt;0, N17/H17,"No installs")</f>
        <v>0.7525083612</v>
      </c>
      <c r="U17" s="28">
        <f t="shared" si="35"/>
        <v>0.7572559367</v>
      </c>
      <c r="V17" s="28">
        <f t="shared" si="35"/>
        <v>0.598540146</v>
      </c>
      <c r="W17" s="28">
        <f t="shared" si="35"/>
        <v>0.5275119617</v>
      </c>
      <c r="X17" s="28">
        <f t="shared" si="35"/>
        <v>0.1645264848</v>
      </c>
      <c r="Y17" s="19"/>
      <c r="Z17" s="29">
        <f t="shared" ref="Z17:AD17" si="36">if(N17&gt;0,B17/N17,"No SignUps")</f>
        <v>0.6808888889</v>
      </c>
      <c r="AA17" s="29">
        <f t="shared" si="36"/>
        <v>0.4550522648</v>
      </c>
      <c r="AB17" s="29">
        <f t="shared" si="36"/>
        <v>1.024390244</v>
      </c>
      <c r="AC17" s="29">
        <f t="shared" si="36"/>
        <v>0.389569161</v>
      </c>
      <c r="AD17" s="29">
        <f t="shared" si="36"/>
        <v>0.8829268293</v>
      </c>
      <c r="AE17" s="19"/>
      <c r="AF17" s="16"/>
      <c r="AG17" s="16"/>
      <c r="AH17" s="24">
        <f t="shared" si="5"/>
        <v>1116.2</v>
      </c>
      <c r="AI17" s="25">
        <f t="shared" si="6"/>
        <v>4659</v>
      </c>
      <c r="AJ17" s="25">
        <f t="shared" si="7"/>
        <v>1814</v>
      </c>
      <c r="AK17" s="26">
        <f t="shared" si="8"/>
        <v>0.3893539386</v>
      </c>
      <c r="AL17" s="24">
        <f t="shared" si="9"/>
        <v>0.2395793089</v>
      </c>
      <c r="AM17" s="24">
        <f t="shared" si="10"/>
        <v>0.6153252481</v>
      </c>
    </row>
    <row r="18" ht="15.75" customHeight="1">
      <c r="A18" s="16">
        <v>50.0</v>
      </c>
      <c r="B18" s="18">
        <v>161.0</v>
      </c>
      <c r="C18" s="18">
        <v>237.0</v>
      </c>
      <c r="D18" s="18">
        <v>232.6</v>
      </c>
      <c r="E18" s="18">
        <v>253.6</v>
      </c>
      <c r="F18" s="18">
        <v>370.0</v>
      </c>
      <c r="G18" s="19"/>
      <c r="H18" s="27">
        <v>333.0</v>
      </c>
      <c r="I18" s="27">
        <v>647.0</v>
      </c>
      <c r="J18" s="27">
        <v>354.0</v>
      </c>
      <c r="K18" s="27">
        <v>1273.0</v>
      </c>
      <c r="L18" s="27">
        <v>984.0</v>
      </c>
      <c r="M18" s="21"/>
      <c r="N18" s="27">
        <v>254.0</v>
      </c>
      <c r="O18" s="27">
        <v>492.0</v>
      </c>
      <c r="P18" s="27">
        <v>229.0</v>
      </c>
      <c r="Q18" s="27">
        <v>525.0</v>
      </c>
      <c r="R18" s="27">
        <v>435.0</v>
      </c>
      <c r="S18" s="21"/>
      <c r="T18" s="28">
        <f t="shared" ref="T18:X18" si="37">if(H18&gt;0, N18/H18,"No installs")</f>
        <v>0.7627627628</v>
      </c>
      <c r="U18" s="28">
        <f t="shared" si="37"/>
        <v>0.7604327666</v>
      </c>
      <c r="V18" s="28">
        <f t="shared" si="37"/>
        <v>0.6468926554</v>
      </c>
      <c r="W18" s="28">
        <f t="shared" si="37"/>
        <v>0.4124116261</v>
      </c>
      <c r="X18" s="28">
        <f t="shared" si="37"/>
        <v>0.4420731707</v>
      </c>
      <c r="Y18" s="19"/>
      <c r="Z18" s="29">
        <f t="shared" ref="Z18:AD18" si="38">if(N18&gt;0,B18/N18,"No SignUps")</f>
        <v>0.6338582677</v>
      </c>
      <c r="AA18" s="29">
        <f t="shared" si="38"/>
        <v>0.4817073171</v>
      </c>
      <c r="AB18" s="29">
        <f t="shared" si="38"/>
        <v>1.015720524</v>
      </c>
      <c r="AC18" s="29">
        <f t="shared" si="38"/>
        <v>0.483047619</v>
      </c>
      <c r="AD18" s="29">
        <f t="shared" si="38"/>
        <v>0.8505747126</v>
      </c>
      <c r="AE18" s="19"/>
      <c r="AF18" s="16"/>
      <c r="AG18" s="16"/>
      <c r="AH18" s="24">
        <f t="shared" si="5"/>
        <v>1254.2</v>
      </c>
      <c r="AI18" s="25">
        <f t="shared" si="6"/>
        <v>3591</v>
      </c>
      <c r="AJ18" s="25">
        <f t="shared" si="7"/>
        <v>1935</v>
      </c>
      <c r="AK18" s="26">
        <f t="shared" si="8"/>
        <v>0.5388471178</v>
      </c>
      <c r="AL18" s="24">
        <f t="shared" si="9"/>
        <v>0.349262044</v>
      </c>
      <c r="AM18" s="24">
        <f t="shared" si="10"/>
        <v>0.6481653747</v>
      </c>
    </row>
    <row r="19" ht="15.75" customHeight="1">
      <c r="A19" s="16">
        <v>51.0</v>
      </c>
      <c r="B19" s="18">
        <v>297.0</v>
      </c>
      <c r="C19" s="18">
        <v>402.8</v>
      </c>
      <c r="D19" s="18">
        <v>312.4</v>
      </c>
      <c r="E19" s="18">
        <v>186.6</v>
      </c>
      <c r="F19" s="18">
        <v>393.0</v>
      </c>
      <c r="G19" s="19"/>
      <c r="H19" s="27">
        <v>537.0</v>
      </c>
      <c r="I19" s="27">
        <v>978.0</v>
      </c>
      <c r="J19" s="27">
        <v>536.0</v>
      </c>
      <c r="K19" s="27">
        <v>722.0</v>
      </c>
      <c r="L19" s="27">
        <v>1058.0</v>
      </c>
      <c r="M19" s="21"/>
      <c r="N19" s="27">
        <v>374.0</v>
      </c>
      <c r="O19" s="27">
        <v>652.0</v>
      </c>
      <c r="P19" s="27">
        <v>337.0</v>
      </c>
      <c r="Q19" s="27">
        <v>368.0</v>
      </c>
      <c r="R19" s="27">
        <v>446.0</v>
      </c>
      <c r="S19" s="21"/>
      <c r="T19" s="28">
        <f t="shared" ref="T19:X19" si="39">if(H19&gt;0, N19/H19,"No installs")</f>
        <v>0.696461825</v>
      </c>
      <c r="U19" s="28">
        <f t="shared" si="39"/>
        <v>0.6666666667</v>
      </c>
      <c r="V19" s="28">
        <f t="shared" si="39"/>
        <v>0.6287313433</v>
      </c>
      <c r="W19" s="28">
        <f t="shared" si="39"/>
        <v>0.5096952909</v>
      </c>
      <c r="X19" s="28">
        <f t="shared" si="39"/>
        <v>0.4215500945</v>
      </c>
      <c r="Y19" s="19"/>
      <c r="Z19" s="29">
        <f t="shared" ref="Z19:AD19" si="40">if(N19&gt;0,B19/N19,"No SignUps")</f>
        <v>0.7941176471</v>
      </c>
      <c r="AA19" s="29">
        <f t="shared" si="40"/>
        <v>0.617791411</v>
      </c>
      <c r="AB19" s="29">
        <f t="shared" si="40"/>
        <v>0.9270029674</v>
      </c>
      <c r="AC19" s="29">
        <f t="shared" si="40"/>
        <v>0.5070652174</v>
      </c>
      <c r="AD19" s="29">
        <f t="shared" si="40"/>
        <v>0.8811659193</v>
      </c>
      <c r="AE19" s="19"/>
      <c r="AF19" s="16"/>
      <c r="AG19" s="16"/>
      <c r="AH19" s="24">
        <f t="shared" si="5"/>
        <v>1591.8</v>
      </c>
      <c r="AI19" s="25">
        <f t="shared" si="6"/>
        <v>3831</v>
      </c>
      <c r="AJ19" s="25">
        <f t="shared" si="7"/>
        <v>2177</v>
      </c>
      <c r="AK19" s="26">
        <f t="shared" si="8"/>
        <v>0.5682589402</v>
      </c>
      <c r="AL19" s="24">
        <f t="shared" si="9"/>
        <v>0.4155050901</v>
      </c>
      <c r="AM19" s="24">
        <f t="shared" si="10"/>
        <v>0.7311897106</v>
      </c>
    </row>
    <row r="20" ht="15.75" customHeight="1">
      <c r="A20" s="16">
        <v>52.0</v>
      </c>
      <c r="B20" s="18">
        <v>420.6</v>
      </c>
      <c r="C20" s="18">
        <v>785.6</v>
      </c>
      <c r="D20" s="18">
        <v>407.4</v>
      </c>
      <c r="E20" s="18">
        <v>542.4</v>
      </c>
      <c r="F20" s="18">
        <v>486.0</v>
      </c>
      <c r="G20" s="19"/>
      <c r="H20" s="27">
        <v>759.0</v>
      </c>
      <c r="I20" s="27">
        <v>1825.0</v>
      </c>
      <c r="J20" s="27">
        <v>653.0</v>
      </c>
      <c r="K20" s="27">
        <v>2224.0</v>
      </c>
      <c r="L20" s="27">
        <v>1289.0</v>
      </c>
      <c r="M20" s="21"/>
      <c r="N20" s="27">
        <v>507.0</v>
      </c>
      <c r="O20" s="27">
        <v>1169.0</v>
      </c>
      <c r="P20" s="27">
        <v>320.0</v>
      </c>
      <c r="Q20" s="27">
        <v>806.0</v>
      </c>
      <c r="R20" s="27">
        <v>560.0</v>
      </c>
      <c r="S20" s="21"/>
      <c r="T20" s="28">
        <f t="shared" ref="T20:X20" si="41">if(H20&gt;0, N20/H20,"No installs")</f>
        <v>0.6679841897</v>
      </c>
      <c r="U20" s="28">
        <f t="shared" si="41"/>
        <v>0.6405479452</v>
      </c>
      <c r="V20" s="28">
        <f t="shared" si="41"/>
        <v>0.4900459418</v>
      </c>
      <c r="W20" s="28">
        <f t="shared" si="41"/>
        <v>0.3624100719</v>
      </c>
      <c r="X20" s="28">
        <f t="shared" si="41"/>
        <v>0.4344453064</v>
      </c>
      <c r="Y20" s="19"/>
      <c r="Z20" s="29">
        <f t="shared" ref="Z20:AD20" si="42">if(N20&gt;0,B20/N20,"No SignUps")</f>
        <v>0.8295857988</v>
      </c>
      <c r="AA20" s="29">
        <f t="shared" si="42"/>
        <v>0.6720273738</v>
      </c>
      <c r="AB20" s="29">
        <f t="shared" si="42"/>
        <v>1.273125</v>
      </c>
      <c r="AC20" s="29">
        <f t="shared" si="42"/>
        <v>0.6729528536</v>
      </c>
      <c r="AD20" s="29">
        <f t="shared" si="42"/>
        <v>0.8678571429</v>
      </c>
      <c r="AE20" s="19"/>
      <c r="AF20" s="16"/>
      <c r="AG20" s="16"/>
      <c r="AH20" s="24">
        <f t="shared" si="5"/>
        <v>2642</v>
      </c>
      <c r="AI20" s="25">
        <f t="shared" si="6"/>
        <v>6750</v>
      </c>
      <c r="AJ20" s="25">
        <f t="shared" si="7"/>
        <v>3362</v>
      </c>
      <c r="AK20" s="26">
        <f t="shared" si="8"/>
        <v>0.4980740741</v>
      </c>
      <c r="AL20" s="24">
        <f t="shared" si="9"/>
        <v>0.3914074074</v>
      </c>
      <c r="AM20" s="24">
        <f t="shared" si="10"/>
        <v>0.7858417609</v>
      </c>
    </row>
    <row r="21" ht="15.75" customHeight="1">
      <c r="A21" s="16">
        <v>1.0</v>
      </c>
      <c r="B21" s="18">
        <v>445.4</v>
      </c>
      <c r="C21" s="18">
        <v>855.2</v>
      </c>
      <c r="D21" s="18">
        <v>314.2</v>
      </c>
      <c r="E21" s="18">
        <v>450.8</v>
      </c>
      <c r="F21" s="18">
        <v>414.8</v>
      </c>
      <c r="G21" s="19"/>
      <c r="H21" s="27">
        <v>849.0</v>
      </c>
      <c r="I21" s="27">
        <v>2014.0</v>
      </c>
      <c r="J21" s="27">
        <v>539.0</v>
      </c>
      <c r="K21" s="27">
        <v>1975.0</v>
      </c>
      <c r="L21" s="27">
        <v>1140.0</v>
      </c>
      <c r="M21" s="21"/>
      <c r="N21" s="27">
        <v>496.0</v>
      </c>
      <c r="O21" s="27">
        <v>1024.0</v>
      </c>
      <c r="P21" s="27">
        <v>225.0</v>
      </c>
      <c r="Q21" s="27">
        <v>712.0</v>
      </c>
      <c r="R21" s="27">
        <v>425.0</v>
      </c>
      <c r="S21" s="21"/>
      <c r="T21" s="28">
        <f t="shared" ref="T21:X21" si="43">if(H21&gt;0, N21/H21,"No installs")</f>
        <v>0.5842167256</v>
      </c>
      <c r="U21" s="28">
        <f t="shared" si="43"/>
        <v>0.5084409136</v>
      </c>
      <c r="V21" s="28">
        <f t="shared" si="43"/>
        <v>0.4174397032</v>
      </c>
      <c r="W21" s="28">
        <f t="shared" si="43"/>
        <v>0.3605063291</v>
      </c>
      <c r="X21" s="28">
        <f t="shared" si="43"/>
        <v>0.3728070175</v>
      </c>
      <c r="Y21" s="19"/>
      <c r="Z21" s="29">
        <f t="shared" ref="Z21:AD21" si="44">if(N21&gt;0,B21/N21,"No SignUps")</f>
        <v>0.897983871</v>
      </c>
      <c r="AA21" s="29">
        <f t="shared" si="44"/>
        <v>0.83515625</v>
      </c>
      <c r="AB21" s="29">
        <f t="shared" si="44"/>
        <v>1.396444444</v>
      </c>
      <c r="AC21" s="29">
        <f t="shared" si="44"/>
        <v>0.6331460674</v>
      </c>
      <c r="AD21" s="29">
        <f t="shared" si="44"/>
        <v>0.976</v>
      </c>
      <c r="AE21" s="19"/>
      <c r="AF21" s="16"/>
      <c r="AG21" s="16"/>
      <c r="AH21" s="24">
        <f t="shared" si="5"/>
        <v>2480.4</v>
      </c>
      <c r="AI21" s="25">
        <f t="shared" si="6"/>
        <v>6517</v>
      </c>
      <c r="AJ21" s="25">
        <f t="shared" si="7"/>
        <v>2882</v>
      </c>
      <c r="AK21" s="26">
        <f t="shared" si="8"/>
        <v>0.442228019</v>
      </c>
      <c r="AL21" s="24">
        <f t="shared" si="9"/>
        <v>0.3806045727</v>
      </c>
      <c r="AM21" s="24">
        <f t="shared" si="10"/>
        <v>0.8606523248</v>
      </c>
    </row>
    <row r="22" ht="15.75" customHeight="1">
      <c r="A22" s="16">
        <v>2.0</v>
      </c>
      <c r="B22" s="18">
        <v>425.6</v>
      </c>
      <c r="C22" s="18">
        <v>406.2</v>
      </c>
      <c r="D22" s="18">
        <v>143.8</v>
      </c>
      <c r="E22" s="18">
        <v>236.8</v>
      </c>
      <c r="F22" s="18">
        <v>352.6</v>
      </c>
      <c r="G22" s="19"/>
      <c r="H22" s="27">
        <v>745.0</v>
      </c>
      <c r="I22" s="27">
        <v>953.0</v>
      </c>
      <c r="J22" s="27">
        <v>241.0</v>
      </c>
      <c r="K22" s="27">
        <v>1157.0</v>
      </c>
      <c r="L22" s="27">
        <v>954.0</v>
      </c>
      <c r="M22" s="21"/>
      <c r="N22" s="27">
        <v>550.0</v>
      </c>
      <c r="O22" s="27">
        <v>649.0</v>
      </c>
      <c r="P22" s="27">
        <v>134.0</v>
      </c>
      <c r="Q22" s="27">
        <v>483.0</v>
      </c>
      <c r="R22" s="27">
        <v>382.0</v>
      </c>
      <c r="S22" s="21"/>
      <c r="T22" s="28">
        <f t="shared" ref="T22:X22" si="45">if(H22&gt;0, N22/H22,"No installs")</f>
        <v>0.7382550336</v>
      </c>
      <c r="U22" s="28">
        <f t="shared" si="45"/>
        <v>0.6810073452</v>
      </c>
      <c r="V22" s="28">
        <f t="shared" si="45"/>
        <v>0.5560165975</v>
      </c>
      <c r="W22" s="28">
        <f t="shared" si="45"/>
        <v>0.4174589455</v>
      </c>
      <c r="X22" s="28">
        <f t="shared" si="45"/>
        <v>0.4004192872</v>
      </c>
      <c r="Y22" s="19"/>
      <c r="Z22" s="29">
        <f t="shared" ref="Z22:AD22" si="46">if(N22&gt;0,B22/N22,"No SignUps")</f>
        <v>0.7738181818</v>
      </c>
      <c r="AA22" s="29">
        <f t="shared" si="46"/>
        <v>0.6258859784</v>
      </c>
      <c r="AB22" s="29">
        <f t="shared" si="46"/>
        <v>1.073134328</v>
      </c>
      <c r="AC22" s="29">
        <f t="shared" si="46"/>
        <v>0.4902691511</v>
      </c>
      <c r="AD22" s="29">
        <f t="shared" si="46"/>
        <v>0.9230366492</v>
      </c>
      <c r="AE22" s="19"/>
      <c r="AF22" s="16"/>
      <c r="AG22" s="16"/>
      <c r="AH22" s="24">
        <f t="shared" si="5"/>
        <v>1565</v>
      </c>
      <c r="AI22" s="25">
        <f t="shared" si="6"/>
        <v>4050</v>
      </c>
      <c r="AJ22" s="25">
        <f t="shared" si="7"/>
        <v>2198</v>
      </c>
      <c r="AK22" s="26">
        <f t="shared" si="8"/>
        <v>0.5427160494</v>
      </c>
      <c r="AL22" s="24">
        <f t="shared" si="9"/>
        <v>0.3864197531</v>
      </c>
      <c r="AM22" s="24">
        <f t="shared" si="10"/>
        <v>0.712010919</v>
      </c>
    </row>
    <row r="23" ht="15.75" customHeight="1">
      <c r="A23" s="16">
        <v>3.0</v>
      </c>
      <c r="B23" s="18">
        <v>220.6</v>
      </c>
      <c r="C23" s="18">
        <v>425.6</v>
      </c>
      <c r="D23" s="18">
        <v>135.2</v>
      </c>
      <c r="E23" s="18">
        <v>323.0</v>
      </c>
      <c r="F23" s="18">
        <v>282.0</v>
      </c>
      <c r="G23" s="19"/>
      <c r="H23" s="27">
        <v>384.0</v>
      </c>
      <c r="I23" s="27">
        <v>1057.0</v>
      </c>
      <c r="J23" s="27">
        <v>206.0</v>
      </c>
      <c r="K23" s="27">
        <v>1336.0</v>
      </c>
      <c r="L23" s="27">
        <v>1765.0</v>
      </c>
      <c r="M23" s="21"/>
      <c r="N23" s="27">
        <v>297.0</v>
      </c>
      <c r="O23" s="27">
        <v>701.0</v>
      </c>
      <c r="P23" s="27">
        <v>86.0</v>
      </c>
      <c r="Q23" s="27">
        <v>405.0</v>
      </c>
      <c r="R23" s="27">
        <v>270.0</v>
      </c>
      <c r="S23" s="21"/>
      <c r="T23" s="28">
        <f t="shared" ref="T23:X23" si="47">if(H23&gt;0, N23/H23,"No installs")</f>
        <v>0.7734375</v>
      </c>
      <c r="U23" s="28">
        <f t="shared" si="47"/>
        <v>0.6631977294</v>
      </c>
      <c r="V23" s="28">
        <f t="shared" si="47"/>
        <v>0.4174757282</v>
      </c>
      <c r="W23" s="28">
        <f t="shared" si="47"/>
        <v>0.3031437126</v>
      </c>
      <c r="X23" s="28">
        <f t="shared" si="47"/>
        <v>0.1529745042</v>
      </c>
      <c r="Y23" s="19"/>
      <c r="Z23" s="29">
        <f t="shared" ref="Z23:AD23" si="48">if(N23&gt;0,B23/N23,"No SignUps")</f>
        <v>0.7427609428</v>
      </c>
      <c r="AA23" s="29">
        <f t="shared" si="48"/>
        <v>0.6071326676</v>
      </c>
      <c r="AB23" s="29">
        <f t="shared" si="48"/>
        <v>1.572093023</v>
      </c>
      <c r="AC23" s="29">
        <f t="shared" si="48"/>
        <v>0.7975308642</v>
      </c>
      <c r="AD23" s="29">
        <f t="shared" si="48"/>
        <v>1.044444444</v>
      </c>
      <c r="AE23" s="19"/>
      <c r="AF23" s="16"/>
      <c r="AG23" s="16"/>
      <c r="AH23" s="24">
        <f t="shared" si="5"/>
        <v>1386.4</v>
      </c>
      <c r="AI23" s="25">
        <f t="shared" si="6"/>
        <v>4748</v>
      </c>
      <c r="AJ23" s="25">
        <f t="shared" si="7"/>
        <v>1759</v>
      </c>
      <c r="AK23" s="26">
        <f t="shared" si="8"/>
        <v>0.3704717776</v>
      </c>
      <c r="AL23" s="24">
        <f t="shared" si="9"/>
        <v>0.2919966302</v>
      </c>
      <c r="AM23" s="24">
        <f t="shared" si="10"/>
        <v>0.7881750995</v>
      </c>
    </row>
    <row r="24" ht="15.75" customHeight="1">
      <c r="A24" s="16">
        <v>4.0</v>
      </c>
      <c r="B24" s="18"/>
      <c r="C24" s="18"/>
      <c r="D24" s="18"/>
      <c r="E24" s="18"/>
      <c r="F24" s="18"/>
      <c r="G24" s="19"/>
      <c r="H24" s="27"/>
      <c r="I24" s="27"/>
      <c r="J24" s="27"/>
      <c r="K24" s="27"/>
      <c r="L24" s="27"/>
      <c r="M24" s="21"/>
      <c r="N24" s="27"/>
      <c r="O24" s="27"/>
      <c r="P24" s="27"/>
      <c r="Q24" s="27"/>
      <c r="R24" s="27"/>
      <c r="S24" s="21"/>
      <c r="T24" s="28"/>
      <c r="U24" s="28"/>
      <c r="V24" s="28"/>
      <c r="W24" s="28"/>
      <c r="X24" s="28"/>
      <c r="Y24" s="19"/>
      <c r="Z24" s="29"/>
      <c r="AA24" s="29"/>
      <c r="AB24" s="29"/>
      <c r="AC24" s="29"/>
      <c r="AD24" s="29"/>
      <c r="AE24" s="19"/>
      <c r="AF24" s="16"/>
      <c r="AG24" s="16"/>
      <c r="AH24" s="24"/>
      <c r="AI24" s="25"/>
      <c r="AJ24" s="25"/>
      <c r="AK24" s="26"/>
      <c r="AL24" s="24"/>
      <c r="AM24" s="24"/>
    </row>
    <row r="25" ht="15.75" customHeight="1">
      <c r="A25" s="16">
        <v>5.0</v>
      </c>
      <c r="B25" s="18"/>
      <c r="C25" s="18"/>
      <c r="D25" s="18"/>
      <c r="E25" s="18"/>
      <c r="F25" s="18"/>
      <c r="G25" s="19"/>
      <c r="H25" s="27"/>
      <c r="I25" s="27"/>
      <c r="J25" s="27"/>
      <c r="K25" s="27"/>
      <c r="L25" s="27"/>
      <c r="M25" s="21"/>
      <c r="N25" s="27"/>
      <c r="O25" s="27"/>
      <c r="P25" s="27"/>
      <c r="Q25" s="27"/>
      <c r="R25" s="27"/>
      <c r="S25" s="21"/>
      <c r="T25" s="28"/>
      <c r="U25" s="28"/>
      <c r="V25" s="28"/>
      <c r="W25" s="28"/>
      <c r="X25" s="28"/>
      <c r="Y25" s="19"/>
      <c r="Z25" s="29"/>
      <c r="AA25" s="29"/>
      <c r="AB25" s="29"/>
      <c r="AC25" s="29"/>
      <c r="AD25" s="29"/>
      <c r="AE25" s="19"/>
      <c r="AF25" s="16"/>
      <c r="AG25" s="16"/>
      <c r="AH25" s="24"/>
      <c r="AI25" s="25"/>
      <c r="AJ25" s="25"/>
      <c r="AK25" s="26"/>
      <c r="AL25" s="24"/>
      <c r="AM25" s="24"/>
    </row>
    <row r="26" ht="15.75" customHeight="1">
      <c r="A26" s="16">
        <v>6.0</v>
      </c>
      <c r="B26" s="18"/>
      <c r="C26" s="18"/>
      <c r="D26" s="18"/>
      <c r="E26" s="18"/>
      <c r="F26" s="18"/>
      <c r="G26" s="19"/>
      <c r="H26" s="27"/>
      <c r="I26" s="27"/>
      <c r="J26" s="27"/>
      <c r="K26" s="27"/>
      <c r="L26" s="27"/>
      <c r="M26" s="21"/>
      <c r="N26" s="27"/>
      <c r="O26" s="27"/>
      <c r="P26" s="27"/>
      <c r="Q26" s="27"/>
      <c r="R26" s="27"/>
      <c r="S26" s="21"/>
      <c r="T26" s="28"/>
      <c r="U26" s="28"/>
      <c r="V26" s="28"/>
      <c r="W26" s="28"/>
      <c r="X26" s="28"/>
      <c r="Y26" s="19"/>
      <c r="Z26" s="29"/>
      <c r="AA26" s="29"/>
      <c r="AB26" s="29"/>
      <c r="AC26" s="29"/>
      <c r="AD26" s="29"/>
      <c r="AE26" s="19"/>
      <c r="AF26" s="16"/>
      <c r="AG26" s="16"/>
      <c r="AH26" s="24"/>
      <c r="AI26" s="25"/>
      <c r="AJ26" s="25"/>
      <c r="AK26" s="26"/>
      <c r="AL26" s="24"/>
      <c r="AM26" s="24"/>
    </row>
    <row r="27" ht="15.75" customHeight="1">
      <c r="A27" s="16">
        <v>7.0</v>
      </c>
      <c r="B27" s="18"/>
      <c r="C27" s="18"/>
      <c r="D27" s="18"/>
      <c r="E27" s="18"/>
      <c r="F27" s="18"/>
      <c r="G27" s="19"/>
      <c r="H27" s="27"/>
      <c r="I27" s="27"/>
      <c r="J27" s="27"/>
      <c r="K27" s="27"/>
      <c r="L27" s="27"/>
      <c r="M27" s="21"/>
      <c r="N27" s="27"/>
      <c r="O27" s="27"/>
      <c r="P27" s="27"/>
      <c r="Q27" s="27"/>
      <c r="R27" s="27"/>
      <c r="S27" s="21"/>
      <c r="T27" s="28"/>
      <c r="U27" s="28"/>
      <c r="V27" s="28"/>
      <c r="W27" s="28"/>
      <c r="X27" s="28"/>
      <c r="Y27" s="19"/>
      <c r="Z27" s="29"/>
      <c r="AA27" s="29"/>
      <c r="AB27" s="29"/>
      <c r="AC27" s="29"/>
      <c r="AD27" s="29"/>
      <c r="AE27" s="19"/>
      <c r="AF27" s="16"/>
      <c r="AG27" s="16"/>
      <c r="AH27" s="24"/>
      <c r="AI27" s="25"/>
      <c r="AJ27" s="25"/>
      <c r="AK27" s="26"/>
      <c r="AL27" s="24"/>
      <c r="AM27" s="24"/>
    </row>
    <row r="28" ht="15.75" customHeight="1">
      <c r="A28" s="16">
        <v>8.0</v>
      </c>
      <c r="B28" s="18"/>
      <c r="C28" s="18"/>
      <c r="D28" s="18"/>
      <c r="E28" s="18"/>
      <c r="F28" s="18"/>
      <c r="G28" s="19"/>
      <c r="H28" s="27"/>
      <c r="I28" s="27"/>
      <c r="J28" s="27"/>
      <c r="K28" s="27"/>
      <c r="L28" s="27"/>
      <c r="M28" s="21"/>
      <c r="N28" s="27"/>
      <c r="O28" s="27"/>
      <c r="P28" s="27"/>
      <c r="Q28" s="27"/>
      <c r="R28" s="27"/>
      <c r="S28" s="21"/>
      <c r="T28" s="28"/>
      <c r="U28" s="28"/>
      <c r="V28" s="28"/>
      <c r="W28" s="28"/>
      <c r="X28" s="28"/>
      <c r="Y28" s="19"/>
      <c r="Z28" s="29"/>
      <c r="AA28" s="29"/>
      <c r="AB28" s="29"/>
      <c r="AC28" s="29"/>
      <c r="AD28" s="29"/>
      <c r="AE28" s="19"/>
      <c r="AF28" s="16"/>
      <c r="AG28" s="16"/>
      <c r="AH28" s="24"/>
      <c r="AI28" s="25"/>
      <c r="AJ28" s="25"/>
      <c r="AK28" s="26"/>
      <c r="AL28" s="24"/>
      <c r="AM28" s="24"/>
    </row>
    <row r="29" ht="15.75" customHeight="1">
      <c r="A29" s="16">
        <v>9.0</v>
      </c>
      <c r="B29" s="18"/>
      <c r="C29" s="18"/>
      <c r="D29" s="18"/>
      <c r="E29" s="18"/>
      <c r="F29" s="18"/>
      <c r="G29" s="19"/>
      <c r="H29" s="27"/>
      <c r="I29" s="27"/>
      <c r="J29" s="27"/>
      <c r="K29" s="27"/>
      <c r="L29" s="27"/>
      <c r="M29" s="21"/>
      <c r="N29" s="27"/>
      <c r="O29" s="27"/>
      <c r="P29" s="27"/>
      <c r="Q29" s="27"/>
      <c r="R29" s="27"/>
      <c r="S29" s="21"/>
      <c r="T29" s="28"/>
      <c r="U29" s="28"/>
      <c r="V29" s="28"/>
      <c r="W29" s="28"/>
      <c r="X29" s="28"/>
      <c r="Y29" s="19"/>
      <c r="Z29" s="29"/>
      <c r="AA29" s="29"/>
      <c r="AB29" s="29"/>
      <c r="AC29" s="29"/>
      <c r="AD29" s="29"/>
      <c r="AE29" s="19"/>
      <c r="AF29" s="16"/>
      <c r="AG29" s="16"/>
      <c r="AH29" s="24"/>
      <c r="AI29" s="25"/>
      <c r="AJ29" s="25"/>
      <c r="AK29" s="26"/>
      <c r="AL29" s="24"/>
      <c r="AM29" s="24"/>
    </row>
    <row r="30" ht="15.75" customHeight="1">
      <c r="A30" s="16">
        <v>10.0</v>
      </c>
      <c r="B30" s="18"/>
      <c r="C30" s="18"/>
      <c r="D30" s="18"/>
      <c r="E30" s="18"/>
      <c r="F30" s="18"/>
      <c r="G30" s="19"/>
      <c r="H30" s="27"/>
      <c r="I30" s="27"/>
      <c r="J30" s="27"/>
      <c r="K30" s="27"/>
      <c r="L30" s="27"/>
      <c r="M30" s="21"/>
      <c r="N30" s="27"/>
      <c r="O30" s="27"/>
      <c r="P30" s="27"/>
      <c r="Q30" s="27"/>
      <c r="R30" s="27"/>
      <c r="S30" s="21"/>
      <c r="T30" s="28"/>
      <c r="U30" s="28"/>
      <c r="V30" s="28"/>
      <c r="W30" s="28"/>
      <c r="X30" s="28"/>
      <c r="Y30" s="19"/>
      <c r="Z30" s="29"/>
      <c r="AA30" s="29"/>
      <c r="AB30" s="29"/>
      <c r="AC30" s="29"/>
      <c r="AD30" s="29"/>
      <c r="AE30" s="19"/>
      <c r="AF30" s="16"/>
      <c r="AG30" s="16"/>
      <c r="AH30" s="24"/>
      <c r="AI30" s="25"/>
      <c r="AJ30" s="25"/>
      <c r="AK30" s="26"/>
      <c r="AL30" s="24"/>
      <c r="AM30" s="24"/>
    </row>
    <row r="31" ht="15.75" customHeight="1">
      <c r="A31" s="16">
        <v>11.0</v>
      </c>
      <c r="B31" s="18"/>
      <c r="C31" s="18"/>
      <c r="D31" s="18"/>
      <c r="E31" s="18"/>
      <c r="F31" s="18"/>
      <c r="G31" s="19"/>
      <c r="H31" s="27"/>
      <c r="I31" s="27"/>
      <c r="J31" s="27"/>
      <c r="K31" s="27"/>
      <c r="L31" s="27"/>
      <c r="M31" s="21"/>
      <c r="N31" s="27"/>
      <c r="O31" s="27"/>
      <c r="P31" s="27"/>
      <c r="Q31" s="27"/>
      <c r="R31" s="27"/>
      <c r="S31" s="21"/>
      <c r="T31" s="28"/>
      <c r="U31" s="28"/>
      <c r="V31" s="28"/>
      <c r="W31" s="28"/>
      <c r="X31" s="28"/>
      <c r="Y31" s="19"/>
      <c r="Z31" s="29"/>
      <c r="AA31" s="29"/>
      <c r="AB31" s="29"/>
      <c r="AC31" s="29"/>
      <c r="AD31" s="29"/>
      <c r="AE31" s="19"/>
      <c r="AF31" s="16"/>
      <c r="AG31" s="16"/>
      <c r="AH31" s="24"/>
      <c r="AI31" s="25"/>
      <c r="AJ31" s="25"/>
      <c r="AK31" s="26"/>
      <c r="AL31" s="24"/>
      <c r="AM31" s="24"/>
    </row>
    <row r="32" ht="15.75" customHeight="1">
      <c r="A32" s="16">
        <v>12.0</v>
      </c>
      <c r="B32" s="18"/>
      <c r="C32" s="18"/>
      <c r="D32" s="18"/>
      <c r="E32" s="18"/>
      <c r="F32" s="18"/>
      <c r="G32" s="19"/>
      <c r="H32" s="27"/>
      <c r="I32" s="27"/>
      <c r="J32" s="27"/>
      <c r="K32" s="27"/>
      <c r="L32" s="27"/>
      <c r="M32" s="21"/>
      <c r="N32" s="27"/>
      <c r="O32" s="27"/>
      <c r="P32" s="27"/>
      <c r="Q32" s="27"/>
      <c r="R32" s="27"/>
      <c r="S32" s="21"/>
      <c r="T32" s="28"/>
      <c r="U32" s="28"/>
      <c r="V32" s="28"/>
      <c r="W32" s="28"/>
      <c r="X32" s="28"/>
      <c r="Y32" s="19"/>
      <c r="Z32" s="29"/>
      <c r="AA32" s="29"/>
      <c r="AB32" s="29"/>
      <c r="AC32" s="29"/>
      <c r="AD32" s="29"/>
      <c r="AE32" s="19"/>
      <c r="AF32" s="16"/>
      <c r="AG32" s="16"/>
      <c r="AH32" s="24"/>
      <c r="AI32" s="25"/>
      <c r="AJ32" s="25"/>
      <c r="AK32" s="26"/>
      <c r="AL32" s="24"/>
      <c r="AM32" s="24"/>
    </row>
    <row r="33" ht="15.75" customHeight="1">
      <c r="A33" s="16">
        <v>13.0</v>
      </c>
      <c r="B33" s="18"/>
      <c r="C33" s="18"/>
      <c r="D33" s="18"/>
      <c r="E33" s="18"/>
      <c r="F33" s="18"/>
      <c r="G33" s="19"/>
      <c r="H33" s="27"/>
      <c r="I33" s="27"/>
      <c r="J33" s="27"/>
      <c r="K33" s="27"/>
      <c r="L33" s="27"/>
      <c r="M33" s="21"/>
      <c r="N33" s="27"/>
      <c r="O33" s="27"/>
      <c r="P33" s="27"/>
      <c r="Q33" s="27"/>
      <c r="R33" s="27"/>
      <c r="S33" s="21"/>
      <c r="T33" s="28"/>
      <c r="U33" s="28"/>
      <c r="V33" s="28"/>
      <c r="W33" s="28"/>
      <c r="X33" s="28"/>
      <c r="Y33" s="19"/>
      <c r="Z33" s="29"/>
      <c r="AA33" s="29"/>
      <c r="AB33" s="29"/>
      <c r="AC33" s="29"/>
      <c r="AD33" s="29"/>
      <c r="AE33" s="19"/>
      <c r="AF33" s="16"/>
      <c r="AG33" s="16"/>
      <c r="AH33" s="24"/>
      <c r="AI33" s="25"/>
      <c r="AJ33" s="25"/>
      <c r="AK33" s="26"/>
      <c r="AL33" s="24"/>
      <c r="AM33" s="24"/>
    </row>
    <row r="34" ht="15.75" customHeight="1">
      <c r="B34" s="18"/>
      <c r="C34" s="18"/>
      <c r="D34" s="18"/>
      <c r="E34" s="18"/>
      <c r="F34" s="18"/>
      <c r="G34" s="19"/>
      <c r="H34" s="27"/>
      <c r="I34" s="27"/>
      <c r="J34" s="27"/>
      <c r="K34" s="27"/>
      <c r="L34" s="27"/>
      <c r="M34" s="21"/>
      <c r="N34" s="27"/>
      <c r="O34" s="27"/>
      <c r="P34" s="27"/>
      <c r="Q34" s="27"/>
      <c r="R34" s="27"/>
      <c r="S34" s="21"/>
      <c r="T34" s="28"/>
      <c r="U34" s="28"/>
      <c r="V34" s="28"/>
      <c r="W34" s="28"/>
      <c r="X34" s="28"/>
      <c r="Y34" s="19"/>
      <c r="Z34" s="18"/>
      <c r="AE34" s="19"/>
      <c r="AH34" s="24"/>
      <c r="AI34" s="30"/>
      <c r="AJ34" s="30"/>
      <c r="AK34" s="30"/>
      <c r="AL34" s="24"/>
      <c r="AM34" s="24"/>
    </row>
    <row r="35" ht="15.75" customHeight="1">
      <c r="B35" s="18"/>
      <c r="C35" s="18"/>
      <c r="D35" s="18"/>
      <c r="E35" s="18"/>
      <c r="F35" s="18"/>
      <c r="G35" s="19"/>
      <c r="H35" s="27"/>
      <c r="I35" s="27"/>
      <c r="J35" s="27"/>
      <c r="K35" s="27"/>
      <c r="L35" s="27"/>
      <c r="M35" s="21"/>
      <c r="N35" s="27"/>
      <c r="O35" s="27"/>
      <c r="P35" s="27"/>
      <c r="Q35" s="27"/>
      <c r="R35" s="27"/>
      <c r="S35" s="21"/>
      <c r="T35" s="28"/>
      <c r="U35" s="28"/>
      <c r="V35" s="28"/>
      <c r="W35" s="28"/>
      <c r="X35" s="28"/>
      <c r="Y35" s="19"/>
      <c r="Z35" s="18"/>
      <c r="AE35" s="19"/>
      <c r="AH35" s="24"/>
      <c r="AI35" s="30"/>
      <c r="AJ35" s="30"/>
      <c r="AK35" s="30"/>
      <c r="AL35" s="24"/>
      <c r="AM35" s="24"/>
    </row>
    <row r="36" ht="15.75" customHeight="1">
      <c r="B36" s="18"/>
      <c r="C36" s="18"/>
      <c r="D36" s="18"/>
      <c r="E36" s="18"/>
      <c r="F36" s="18"/>
      <c r="G36" s="19"/>
      <c r="H36" s="27"/>
      <c r="I36" s="27"/>
      <c r="J36" s="27"/>
      <c r="K36" s="27"/>
      <c r="L36" s="27"/>
      <c r="M36" s="21"/>
      <c r="N36" s="27"/>
      <c r="O36" s="27"/>
      <c r="P36" s="27"/>
      <c r="Q36" s="27"/>
      <c r="R36" s="27"/>
      <c r="S36" s="21"/>
      <c r="T36" s="28"/>
      <c r="U36" s="28"/>
      <c r="V36" s="28"/>
      <c r="W36" s="28"/>
      <c r="X36" s="28"/>
      <c r="Y36" s="19"/>
      <c r="Z36" s="18"/>
      <c r="AE36" s="19"/>
      <c r="AH36" s="24"/>
      <c r="AI36" s="30"/>
      <c r="AJ36" s="30"/>
      <c r="AK36" s="30"/>
      <c r="AL36" s="24"/>
      <c r="AM36" s="24"/>
    </row>
    <row r="37" ht="15.75" customHeight="1">
      <c r="B37" s="18"/>
      <c r="C37" s="18"/>
      <c r="D37" s="18"/>
      <c r="E37" s="18"/>
      <c r="F37" s="18"/>
      <c r="G37" s="19"/>
      <c r="H37" s="27"/>
      <c r="I37" s="27"/>
      <c r="J37" s="27"/>
      <c r="K37" s="27"/>
      <c r="L37" s="27"/>
      <c r="M37" s="21"/>
      <c r="N37" s="27"/>
      <c r="O37" s="27"/>
      <c r="P37" s="27"/>
      <c r="Q37" s="27"/>
      <c r="R37" s="27"/>
      <c r="S37" s="21"/>
      <c r="T37" s="28"/>
      <c r="U37" s="28"/>
      <c r="V37" s="28"/>
      <c r="W37" s="28"/>
      <c r="X37" s="28"/>
      <c r="Y37" s="19"/>
      <c r="Z37" s="18"/>
      <c r="AE37" s="19"/>
      <c r="AH37" s="24"/>
      <c r="AI37" s="30"/>
      <c r="AJ37" s="30"/>
      <c r="AK37" s="30"/>
      <c r="AL37" s="24"/>
      <c r="AM37" s="24"/>
    </row>
    <row r="38" ht="15.75" customHeight="1">
      <c r="B38" s="18"/>
      <c r="C38" s="18"/>
      <c r="D38" s="18"/>
      <c r="E38" s="18"/>
      <c r="F38" s="18"/>
      <c r="G38" s="19"/>
      <c r="H38" s="27"/>
      <c r="I38" s="27"/>
      <c r="J38" s="27"/>
      <c r="K38" s="27"/>
      <c r="L38" s="27"/>
      <c r="M38" s="21"/>
      <c r="N38" s="27"/>
      <c r="O38" s="27"/>
      <c r="P38" s="27"/>
      <c r="Q38" s="27"/>
      <c r="R38" s="27"/>
      <c r="S38" s="21"/>
      <c r="T38" s="28"/>
      <c r="U38" s="28"/>
      <c r="V38" s="28"/>
      <c r="W38" s="28"/>
      <c r="X38" s="28"/>
      <c r="Y38" s="19"/>
      <c r="Z38" s="18"/>
      <c r="AE38" s="19"/>
      <c r="AH38" s="24"/>
      <c r="AI38" s="30"/>
      <c r="AJ38" s="30"/>
      <c r="AK38" s="30"/>
      <c r="AL38" s="24"/>
      <c r="AM38" s="24"/>
    </row>
    <row r="39" ht="15.75" customHeight="1">
      <c r="B39" s="18"/>
      <c r="C39" s="18"/>
      <c r="D39" s="18"/>
      <c r="E39" s="18"/>
      <c r="F39" s="18"/>
      <c r="G39" s="19"/>
      <c r="H39" s="27"/>
      <c r="I39" s="27"/>
      <c r="J39" s="27"/>
      <c r="K39" s="27"/>
      <c r="L39" s="27"/>
      <c r="M39" s="21"/>
      <c r="N39" s="27"/>
      <c r="O39" s="27"/>
      <c r="P39" s="27"/>
      <c r="Q39" s="27"/>
      <c r="R39" s="27"/>
      <c r="S39" s="21"/>
      <c r="T39" s="28"/>
      <c r="U39" s="28"/>
      <c r="V39" s="28"/>
      <c r="W39" s="28"/>
      <c r="X39" s="28"/>
      <c r="Y39" s="19"/>
      <c r="Z39" s="18"/>
      <c r="AE39" s="19"/>
      <c r="AH39" s="24"/>
      <c r="AI39" s="30"/>
      <c r="AJ39" s="30"/>
      <c r="AK39" s="30"/>
      <c r="AL39" s="24"/>
      <c r="AM39" s="24"/>
    </row>
    <row r="40" ht="15.75" customHeight="1">
      <c r="B40" s="18"/>
      <c r="C40" s="18"/>
      <c r="D40" s="18"/>
      <c r="E40" s="18"/>
      <c r="F40" s="18"/>
      <c r="G40" s="19"/>
      <c r="H40" s="27"/>
      <c r="I40" s="27"/>
      <c r="J40" s="27"/>
      <c r="K40" s="27"/>
      <c r="L40" s="27"/>
      <c r="M40" s="21"/>
      <c r="N40" s="27"/>
      <c r="O40" s="27"/>
      <c r="P40" s="27"/>
      <c r="Q40" s="27"/>
      <c r="R40" s="27"/>
      <c r="S40" s="21"/>
      <c r="T40" s="28"/>
      <c r="U40" s="28"/>
      <c r="V40" s="28"/>
      <c r="W40" s="28"/>
      <c r="X40" s="28"/>
      <c r="Y40" s="19"/>
      <c r="Z40" s="18"/>
      <c r="AE40" s="19"/>
      <c r="AH40" s="24"/>
      <c r="AI40" s="30"/>
      <c r="AJ40" s="30"/>
      <c r="AK40" s="30"/>
      <c r="AL40" s="24"/>
      <c r="AM40" s="24"/>
    </row>
    <row r="41" ht="15.75" customHeight="1">
      <c r="B41" s="18"/>
      <c r="C41" s="18"/>
      <c r="D41" s="18"/>
      <c r="E41" s="18"/>
      <c r="F41" s="18"/>
      <c r="G41" s="19"/>
      <c r="H41" s="27"/>
      <c r="I41" s="27"/>
      <c r="J41" s="27"/>
      <c r="K41" s="27"/>
      <c r="L41" s="27"/>
      <c r="M41" s="21"/>
      <c r="N41" s="27"/>
      <c r="O41" s="27"/>
      <c r="P41" s="27"/>
      <c r="Q41" s="27"/>
      <c r="R41" s="27"/>
      <c r="S41" s="21"/>
      <c r="T41" s="28"/>
      <c r="U41" s="28"/>
      <c r="V41" s="28"/>
      <c r="W41" s="28"/>
      <c r="X41" s="28"/>
      <c r="Y41" s="19"/>
      <c r="Z41" s="18"/>
      <c r="AE41" s="19"/>
      <c r="AH41" s="24"/>
      <c r="AI41" s="30"/>
      <c r="AJ41" s="30"/>
      <c r="AK41" s="30"/>
      <c r="AL41" s="24"/>
      <c r="AM41" s="24"/>
    </row>
    <row r="42" ht="15.75" customHeight="1">
      <c r="B42" s="18"/>
      <c r="C42" s="18"/>
      <c r="D42" s="18"/>
      <c r="E42" s="18"/>
      <c r="F42" s="18"/>
      <c r="G42" s="19"/>
      <c r="H42" s="27"/>
      <c r="I42" s="27"/>
      <c r="J42" s="27"/>
      <c r="K42" s="27"/>
      <c r="L42" s="27"/>
      <c r="M42" s="21"/>
      <c r="N42" s="27"/>
      <c r="O42" s="27"/>
      <c r="P42" s="27"/>
      <c r="Q42" s="27"/>
      <c r="R42" s="27"/>
      <c r="S42" s="21"/>
      <c r="T42" s="28"/>
      <c r="U42" s="28"/>
      <c r="V42" s="28"/>
      <c r="W42" s="28"/>
      <c r="X42" s="28"/>
      <c r="Y42" s="19"/>
      <c r="Z42" s="18"/>
      <c r="AE42" s="19"/>
      <c r="AH42" s="24"/>
      <c r="AI42" s="30"/>
      <c r="AJ42" s="30"/>
      <c r="AK42" s="30"/>
      <c r="AL42" s="24"/>
      <c r="AM42" s="24"/>
    </row>
    <row r="43" ht="15.75" customHeight="1">
      <c r="B43" s="18"/>
      <c r="C43" s="18"/>
      <c r="D43" s="18"/>
      <c r="E43" s="18"/>
      <c r="F43" s="18"/>
      <c r="G43" s="19"/>
      <c r="H43" s="27"/>
      <c r="I43" s="27"/>
      <c r="J43" s="27"/>
      <c r="K43" s="27"/>
      <c r="L43" s="27"/>
      <c r="M43" s="21"/>
      <c r="N43" s="27"/>
      <c r="O43" s="27"/>
      <c r="P43" s="27"/>
      <c r="Q43" s="27"/>
      <c r="R43" s="27"/>
      <c r="S43" s="21"/>
      <c r="T43" s="28"/>
      <c r="U43" s="28"/>
      <c r="V43" s="28"/>
      <c r="W43" s="28"/>
      <c r="X43" s="28"/>
      <c r="Y43" s="19"/>
      <c r="Z43" s="18"/>
      <c r="AE43" s="19"/>
      <c r="AH43" s="24"/>
      <c r="AI43" s="30"/>
      <c r="AJ43" s="30"/>
      <c r="AK43" s="30"/>
      <c r="AL43" s="24"/>
      <c r="AM43" s="24"/>
    </row>
    <row r="44" ht="15.75" customHeight="1">
      <c r="B44" s="18"/>
      <c r="C44" s="18"/>
      <c r="D44" s="18"/>
      <c r="E44" s="18"/>
      <c r="F44" s="18"/>
      <c r="G44" s="19"/>
      <c r="H44" s="27"/>
      <c r="I44" s="27"/>
      <c r="J44" s="27"/>
      <c r="K44" s="27"/>
      <c r="L44" s="27"/>
      <c r="M44" s="21"/>
      <c r="N44" s="27"/>
      <c r="O44" s="27"/>
      <c r="P44" s="27"/>
      <c r="Q44" s="27"/>
      <c r="R44" s="27"/>
      <c r="S44" s="21"/>
      <c r="T44" s="28"/>
      <c r="U44" s="28"/>
      <c r="V44" s="28"/>
      <c r="W44" s="28"/>
      <c r="X44" s="28"/>
      <c r="Y44" s="19"/>
      <c r="Z44" s="18"/>
      <c r="AE44" s="19"/>
      <c r="AH44" s="24"/>
      <c r="AI44" s="30"/>
      <c r="AJ44" s="30"/>
      <c r="AK44" s="30"/>
      <c r="AL44" s="24"/>
      <c r="AM44" s="24"/>
    </row>
    <row r="45" ht="15.75" customHeight="1">
      <c r="B45" s="18"/>
      <c r="C45" s="18"/>
      <c r="D45" s="18"/>
      <c r="E45" s="18"/>
      <c r="F45" s="18"/>
      <c r="G45" s="19"/>
      <c r="H45" s="27"/>
      <c r="I45" s="27"/>
      <c r="J45" s="27"/>
      <c r="K45" s="27"/>
      <c r="L45" s="27"/>
      <c r="M45" s="21"/>
      <c r="N45" s="27"/>
      <c r="O45" s="27"/>
      <c r="P45" s="27"/>
      <c r="Q45" s="27"/>
      <c r="R45" s="27"/>
      <c r="S45" s="21"/>
      <c r="T45" s="28"/>
      <c r="U45" s="28"/>
      <c r="V45" s="28"/>
      <c r="W45" s="28"/>
      <c r="X45" s="28"/>
      <c r="Y45" s="19"/>
      <c r="Z45" s="18"/>
      <c r="AE45" s="19"/>
      <c r="AH45" s="24"/>
      <c r="AI45" s="30"/>
      <c r="AJ45" s="30"/>
      <c r="AK45" s="30"/>
      <c r="AL45" s="24"/>
      <c r="AM45" s="24"/>
    </row>
    <row r="46" ht="15.75" customHeight="1">
      <c r="B46" s="18"/>
      <c r="C46" s="18"/>
      <c r="D46" s="18"/>
      <c r="E46" s="18"/>
      <c r="F46" s="18"/>
      <c r="G46" s="19"/>
      <c r="H46" s="27"/>
      <c r="I46" s="27"/>
      <c r="J46" s="27"/>
      <c r="K46" s="27"/>
      <c r="L46" s="27"/>
      <c r="M46" s="21"/>
      <c r="N46" s="27"/>
      <c r="O46" s="27"/>
      <c r="P46" s="27"/>
      <c r="Q46" s="27"/>
      <c r="R46" s="27"/>
      <c r="S46" s="21"/>
      <c r="T46" s="28"/>
      <c r="U46" s="28"/>
      <c r="V46" s="28"/>
      <c r="W46" s="28"/>
      <c r="X46" s="28"/>
      <c r="Y46" s="19"/>
      <c r="Z46" s="18"/>
      <c r="AE46" s="19"/>
      <c r="AH46" s="24"/>
      <c r="AI46" s="30"/>
      <c r="AJ46" s="30"/>
      <c r="AK46" s="30"/>
      <c r="AL46" s="24"/>
      <c r="AM46" s="24"/>
    </row>
    <row r="47" ht="15.75" customHeight="1">
      <c r="B47" s="18"/>
      <c r="C47" s="18"/>
      <c r="D47" s="18"/>
      <c r="E47" s="18"/>
      <c r="F47" s="18"/>
      <c r="G47" s="19"/>
      <c r="H47" s="27"/>
      <c r="I47" s="27"/>
      <c r="J47" s="27"/>
      <c r="K47" s="27"/>
      <c r="L47" s="27"/>
      <c r="M47" s="21"/>
      <c r="N47" s="27"/>
      <c r="O47" s="27"/>
      <c r="P47" s="27"/>
      <c r="Q47" s="27"/>
      <c r="R47" s="27"/>
      <c r="S47" s="21"/>
      <c r="T47" s="28"/>
      <c r="U47" s="28"/>
      <c r="V47" s="28"/>
      <c r="W47" s="28"/>
      <c r="X47" s="28"/>
      <c r="Y47" s="19"/>
      <c r="Z47" s="18"/>
      <c r="AE47" s="19"/>
      <c r="AH47" s="24"/>
      <c r="AI47" s="30"/>
      <c r="AJ47" s="30"/>
      <c r="AK47" s="30"/>
      <c r="AL47" s="24"/>
      <c r="AM47" s="24"/>
    </row>
    <row r="48" ht="15.75" customHeight="1">
      <c r="B48" s="18"/>
      <c r="C48" s="18"/>
      <c r="D48" s="18"/>
      <c r="E48" s="18"/>
      <c r="F48" s="18"/>
      <c r="G48" s="19"/>
      <c r="H48" s="27"/>
      <c r="I48" s="27"/>
      <c r="J48" s="27"/>
      <c r="K48" s="27"/>
      <c r="L48" s="27"/>
      <c r="M48" s="21"/>
      <c r="N48" s="27"/>
      <c r="O48" s="27"/>
      <c r="P48" s="27"/>
      <c r="Q48" s="27"/>
      <c r="R48" s="27"/>
      <c r="S48" s="21"/>
      <c r="T48" s="28"/>
      <c r="U48" s="28"/>
      <c r="V48" s="28"/>
      <c r="W48" s="28"/>
      <c r="X48" s="28"/>
      <c r="Y48" s="19"/>
      <c r="Z48" s="18"/>
      <c r="AE48" s="19"/>
      <c r="AH48" s="24"/>
      <c r="AI48" s="30"/>
      <c r="AJ48" s="30"/>
      <c r="AK48" s="30"/>
      <c r="AL48" s="24"/>
      <c r="AM48" s="24"/>
    </row>
    <row r="49" ht="15.75" customHeight="1">
      <c r="B49" s="18"/>
      <c r="C49" s="18"/>
      <c r="D49" s="18"/>
      <c r="E49" s="18"/>
      <c r="F49" s="18"/>
      <c r="G49" s="19"/>
      <c r="H49" s="27"/>
      <c r="I49" s="27"/>
      <c r="J49" s="27"/>
      <c r="K49" s="27"/>
      <c r="L49" s="27"/>
      <c r="M49" s="21"/>
      <c r="N49" s="27"/>
      <c r="O49" s="27"/>
      <c r="P49" s="27"/>
      <c r="Q49" s="27"/>
      <c r="R49" s="27"/>
      <c r="S49" s="21"/>
      <c r="T49" s="28"/>
      <c r="U49" s="28"/>
      <c r="V49" s="28"/>
      <c r="W49" s="28"/>
      <c r="X49" s="28"/>
      <c r="Y49" s="19"/>
      <c r="Z49" s="18"/>
      <c r="AE49" s="19"/>
      <c r="AH49" s="24"/>
      <c r="AI49" s="30"/>
      <c r="AJ49" s="30"/>
      <c r="AK49" s="30"/>
      <c r="AL49" s="24"/>
      <c r="AM49" s="24"/>
    </row>
    <row r="50" ht="15.75" customHeight="1">
      <c r="B50" s="18"/>
      <c r="C50" s="18"/>
      <c r="D50" s="18"/>
      <c r="E50" s="18"/>
      <c r="F50" s="18"/>
      <c r="G50" s="19"/>
      <c r="H50" s="27"/>
      <c r="I50" s="27"/>
      <c r="J50" s="27"/>
      <c r="K50" s="27"/>
      <c r="L50" s="27"/>
      <c r="M50" s="21"/>
      <c r="N50" s="27"/>
      <c r="O50" s="27"/>
      <c r="P50" s="27"/>
      <c r="Q50" s="27"/>
      <c r="R50" s="27"/>
      <c r="S50" s="21"/>
      <c r="T50" s="28"/>
      <c r="U50" s="28"/>
      <c r="V50" s="28"/>
      <c r="W50" s="28"/>
      <c r="X50" s="28"/>
      <c r="Y50" s="19"/>
      <c r="Z50" s="18"/>
      <c r="AE50" s="19"/>
      <c r="AH50" s="24"/>
      <c r="AI50" s="30"/>
      <c r="AJ50" s="30"/>
      <c r="AK50" s="30"/>
      <c r="AL50" s="24"/>
      <c r="AM50" s="24"/>
    </row>
    <row r="51" ht="15.75" customHeight="1">
      <c r="B51" s="18"/>
      <c r="C51" s="18"/>
      <c r="D51" s="18"/>
      <c r="E51" s="18"/>
      <c r="F51" s="18"/>
      <c r="G51" s="19"/>
      <c r="H51" s="27"/>
      <c r="I51" s="27"/>
      <c r="J51" s="27"/>
      <c r="K51" s="27"/>
      <c r="L51" s="27"/>
      <c r="M51" s="21"/>
      <c r="N51" s="27"/>
      <c r="O51" s="27"/>
      <c r="P51" s="27"/>
      <c r="Q51" s="27"/>
      <c r="R51" s="27"/>
      <c r="S51" s="21"/>
      <c r="T51" s="28"/>
      <c r="U51" s="28"/>
      <c r="V51" s="28"/>
      <c r="W51" s="28"/>
      <c r="X51" s="28"/>
      <c r="Y51" s="19"/>
      <c r="Z51" s="18"/>
      <c r="AE51" s="19"/>
      <c r="AH51" s="24"/>
      <c r="AI51" s="30"/>
      <c r="AJ51" s="30"/>
      <c r="AK51" s="30"/>
      <c r="AL51" s="24"/>
      <c r="AM51" s="24"/>
    </row>
    <row r="52" ht="15.75" customHeight="1">
      <c r="B52" s="18"/>
      <c r="C52" s="18"/>
      <c r="D52" s="18"/>
      <c r="E52" s="18"/>
      <c r="F52" s="18"/>
      <c r="G52" s="19"/>
      <c r="H52" s="27"/>
      <c r="I52" s="27"/>
      <c r="J52" s="27"/>
      <c r="K52" s="27"/>
      <c r="L52" s="27"/>
      <c r="M52" s="21"/>
      <c r="N52" s="27"/>
      <c r="O52" s="27"/>
      <c r="P52" s="27"/>
      <c r="Q52" s="27"/>
      <c r="R52" s="27"/>
      <c r="S52" s="21"/>
      <c r="T52" s="28"/>
      <c r="U52" s="28"/>
      <c r="V52" s="28"/>
      <c r="W52" s="28"/>
      <c r="X52" s="28"/>
      <c r="Y52" s="19"/>
      <c r="Z52" s="18"/>
      <c r="AE52" s="19"/>
      <c r="AH52" s="24"/>
      <c r="AI52" s="30"/>
      <c r="AJ52" s="30"/>
      <c r="AK52" s="30"/>
      <c r="AL52" s="24"/>
      <c r="AM52" s="24"/>
    </row>
    <row r="53" ht="15.75" customHeight="1">
      <c r="B53" s="18"/>
      <c r="C53" s="18"/>
      <c r="D53" s="18"/>
      <c r="E53" s="18"/>
      <c r="F53" s="18"/>
      <c r="G53" s="19"/>
      <c r="H53" s="27"/>
      <c r="I53" s="27"/>
      <c r="J53" s="27"/>
      <c r="K53" s="27"/>
      <c r="L53" s="27"/>
      <c r="M53" s="21"/>
      <c r="N53" s="27"/>
      <c r="O53" s="27"/>
      <c r="P53" s="27"/>
      <c r="Q53" s="27"/>
      <c r="R53" s="27"/>
      <c r="S53" s="21"/>
      <c r="T53" s="28"/>
      <c r="U53" s="28"/>
      <c r="V53" s="28"/>
      <c r="W53" s="28"/>
      <c r="X53" s="28"/>
      <c r="Y53" s="19"/>
      <c r="Z53" s="18"/>
      <c r="AE53" s="19"/>
      <c r="AH53" s="24"/>
      <c r="AI53" s="30"/>
      <c r="AJ53" s="30"/>
      <c r="AK53" s="30"/>
      <c r="AL53" s="24"/>
      <c r="AM53" s="24"/>
    </row>
    <row r="54" ht="15.75" customHeight="1">
      <c r="B54" s="18"/>
      <c r="C54" s="18"/>
      <c r="D54" s="18"/>
      <c r="E54" s="18"/>
      <c r="F54" s="18"/>
      <c r="G54" s="19"/>
      <c r="H54" s="27"/>
      <c r="I54" s="27"/>
      <c r="J54" s="27"/>
      <c r="K54" s="27"/>
      <c r="L54" s="27"/>
      <c r="M54" s="21"/>
      <c r="N54" s="27"/>
      <c r="O54" s="27"/>
      <c r="P54" s="27"/>
      <c r="Q54" s="27"/>
      <c r="R54" s="27"/>
      <c r="S54" s="21"/>
      <c r="T54" s="28"/>
      <c r="U54" s="28"/>
      <c r="V54" s="28"/>
      <c r="W54" s="28"/>
      <c r="X54" s="28"/>
      <c r="Y54" s="19"/>
      <c r="Z54" s="18"/>
      <c r="AE54" s="19"/>
      <c r="AH54" s="24"/>
      <c r="AI54" s="30"/>
      <c r="AJ54" s="30"/>
      <c r="AK54" s="30"/>
      <c r="AL54" s="24"/>
      <c r="AM54" s="24"/>
    </row>
    <row r="55" ht="15.75" customHeight="1">
      <c r="B55" s="18"/>
      <c r="C55" s="18"/>
      <c r="D55" s="18"/>
      <c r="E55" s="18"/>
      <c r="F55" s="18"/>
      <c r="G55" s="19"/>
      <c r="H55" s="27"/>
      <c r="I55" s="27"/>
      <c r="J55" s="27"/>
      <c r="K55" s="27"/>
      <c r="L55" s="27"/>
      <c r="M55" s="21"/>
      <c r="N55" s="27"/>
      <c r="O55" s="27"/>
      <c r="P55" s="27"/>
      <c r="Q55" s="27"/>
      <c r="R55" s="27"/>
      <c r="S55" s="21"/>
      <c r="T55" s="28"/>
      <c r="U55" s="28"/>
      <c r="V55" s="28"/>
      <c r="W55" s="28"/>
      <c r="X55" s="28"/>
      <c r="Y55" s="19"/>
      <c r="Z55" s="18"/>
      <c r="AE55" s="19"/>
      <c r="AH55" s="24"/>
      <c r="AI55" s="30"/>
      <c r="AJ55" s="30"/>
      <c r="AK55" s="30"/>
      <c r="AL55" s="24"/>
      <c r="AM55" s="24"/>
    </row>
    <row r="56" ht="15.75" customHeight="1">
      <c r="B56" s="18"/>
      <c r="C56" s="18"/>
      <c r="D56" s="18"/>
      <c r="E56" s="18"/>
      <c r="F56" s="18"/>
      <c r="G56" s="19"/>
      <c r="H56" s="27"/>
      <c r="I56" s="27"/>
      <c r="J56" s="27"/>
      <c r="K56" s="27"/>
      <c r="L56" s="27"/>
      <c r="M56" s="21"/>
      <c r="N56" s="27"/>
      <c r="O56" s="27"/>
      <c r="P56" s="27"/>
      <c r="Q56" s="27"/>
      <c r="R56" s="27"/>
      <c r="S56" s="21"/>
      <c r="T56" s="28"/>
      <c r="U56" s="28"/>
      <c r="V56" s="28"/>
      <c r="W56" s="28"/>
      <c r="X56" s="28"/>
      <c r="Y56" s="19"/>
      <c r="Z56" s="18"/>
      <c r="AE56" s="19"/>
      <c r="AH56" s="24"/>
      <c r="AI56" s="30"/>
      <c r="AJ56" s="30"/>
      <c r="AK56" s="30"/>
      <c r="AL56" s="24"/>
      <c r="AM56" s="24"/>
    </row>
    <row r="57" ht="15.75" customHeight="1">
      <c r="B57" s="18"/>
      <c r="C57" s="18"/>
      <c r="D57" s="18"/>
      <c r="E57" s="18"/>
      <c r="F57" s="18"/>
      <c r="G57" s="19"/>
      <c r="H57" s="27"/>
      <c r="I57" s="27"/>
      <c r="J57" s="27"/>
      <c r="K57" s="27"/>
      <c r="L57" s="27"/>
      <c r="M57" s="21"/>
      <c r="N57" s="27"/>
      <c r="O57" s="27"/>
      <c r="P57" s="27"/>
      <c r="Q57" s="27"/>
      <c r="R57" s="27"/>
      <c r="S57" s="21"/>
      <c r="T57" s="28"/>
      <c r="U57" s="28"/>
      <c r="V57" s="28"/>
      <c r="W57" s="28"/>
      <c r="X57" s="28"/>
      <c r="Y57" s="19"/>
      <c r="Z57" s="18"/>
      <c r="AE57" s="19"/>
      <c r="AH57" s="24"/>
      <c r="AI57" s="30"/>
      <c r="AJ57" s="30"/>
      <c r="AK57" s="30"/>
      <c r="AL57" s="24"/>
      <c r="AM57" s="24"/>
    </row>
    <row r="58" ht="15.75" customHeight="1">
      <c r="B58" s="18"/>
      <c r="C58" s="18"/>
      <c r="D58" s="18"/>
      <c r="E58" s="18"/>
      <c r="F58" s="18"/>
      <c r="G58" s="19"/>
      <c r="H58" s="27"/>
      <c r="I58" s="27"/>
      <c r="J58" s="27"/>
      <c r="K58" s="27"/>
      <c r="L58" s="27"/>
      <c r="M58" s="21"/>
      <c r="N58" s="27"/>
      <c r="O58" s="27"/>
      <c r="P58" s="27"/>
      <c r="Q58" s="27"/>
      <c r="R58" s="27"/>
      <c r="S58" s="21"/>
      <c r="T58" s="28"/>
      <c r="U58" s="28"/>
      <c r="V58" s="28"/>
      <c r="W58" s="28"/>
      <c r="X58" s="28"/>
      <c r="Y58" s="19"/>
      <c r="Z58" s="18"/>
      <c r="AE58" s="19"/>
      <c r="AH58" s="24"/>
      <c r="AI58" s="30"/>
      <c r="AJ58" s="30"/>
      <c r="AK58" s="30"/>
      <c r="AL58" s="24"/>
      <c r="AM58" s="24"/>
    </row>
    <row r="59" ht="15.75" customHeight="1">
      <c r="B59" s="18"/>
      <c r="C59" s="18"/>
      <c r="D59" s="18"/>
      <c r="E59" s="18"/>
      <c r="F59" s="18"/>
      <c r="G59" s="19"/>
      <c r="H59" s="27"/>
      <c r="I59" s="27"/>
      <c r="J59" s="27"/>
      <c r="K59" s="27"/>
      <c r="L59" s="27"/>
      <c r="M59" s="21"/>
      <c r="N59" s="27"/>
      <c r="O59" s="27"/>
      <c r="P59" s="27"/>
      <c r="Q59" s="27"/>
      <c r="R59" s="27"/>
      <c r="S59" s="21"/>
      <c r="T59" s="28"/>
      <c r="U59" s="28"/>
      <c r="V59" s="28"/>
      <c r="W59" s="28"/>
      <c r="X59" s="28"/>
      <c r="Y59" s="19"/>
      <c r="Z59" s="18"/>
      <c r="AE59" s="19"/>
      <c r="AH59" s="24"/>
      <c r="AI59" s="30"/>
      <c r="AJ59" s="30"/>
      <c r="AK59" s="30"/>
      <c r="AL59" s="24"/>
      <c r="AM59" s="24"/>
    </row>
    <row r="60" ht="15.75" customHeight="1">
      <c r="B60" s="18"/>
      <c r="C60" s="18"/>
      <c r="D60" s="18"/>
      <c r="E60" s="18"/>
      <c r="F60" s="18"/>
      <c r="G60" s="19"/>
      <c r="H60" s="27"/>
      <c r="I60" s="27"/>
      <c r="J60" s="27"/>
      <c r="K60" s="27"/>
      <c r="L60" s="27"/>
      <c r="M60" s="21"/>
      <c r="N60" s="27"/>
      <c r="O60" s="27"/>
      <c r="P60" s="27"/>
      <c r="Q60" s="27"/>
      <c r="R60" s="27"/>
      <c r="S60" s="21"/>
      <c r="T60" s="28"/>
      <c r="U60" s="28"/>
      <c r="V60" s="28"/>
      <c r="W60" s="28"/>
      <c r="X60" s="28"/>
      <c r="Y60" s="19"/>
      <c r="Z60" s="18"/>
      <c r="AE60" s="19"/>
      <c r="AH60" s="24"/>
      <c r="AI60" s="30"/>
      <c r="AJ60" s="30"/>
      <c r="AK60" s="30"/>
      <c r="AL60" s="24"/>
      <c r="AM60" s="24"/>
    </row>
    <row r="61" ht="15.75" customHeight="1">
      <c r="B61" s="18"/>
      <c r="C61" s="18"/>
      <c r="D61" s="18"/>
      <c r="E61" s="18"/>
      <c r="F61" s="18"/>
      <c r="G61" s="19"/>
      <c r="H61" s="27"/>
      <c r="I61" s="27"/>
      <c r="J61" s="27"/>
      <c r="K61" s="27"/>
      <c r="L61" s="27"/>
      <c r="M61" s="21"/>
      <c r="N61" s="27"/>
      <c r="O61" s="27"/>
      <c r="P61" s="27"/>
      <c r="Q61" s="27"/>
      <c r="R61" s="27"/>
      <c r="S61" s="21"/>
      <c r="T61" s="28"/>
      <c r="U61" s="28"/>
      <c r="V61" s="28"/>
      <c r="W61" s="28"/>
      <c r="X61" s="28"/>
      <c r="Y61" s="19"/>
      <c r="Z61" s="18"/>
      <c r="AE61" s="19"/>
      <c r="AH61" s="24"/>
      <c r="AI61" s="30"/>
      <c r="AJ61" s="30"/>
      <c r="AK61" s="30"/>
      <c r="AL61" s="24"/>
      <c r="AM61" s="24"/>
    </row>
    <row r="62" ht="15.75" customHeight="1">
      <c r="B62" s="18"/>
      <c r="C62" s="18"/>
      <c r="D62" s="18"/>
      <c r="E62" s="18"/>
      <c r="F62" s="18"/>
      <c r="G62" s="19"/>
      <c r="H62" s="27"/>
      <c r="I62" s="27"/>
      <c r="J62" s="27"/>
      <c r="K62" s="27"/>
      <c r="L62" s="27"/>
      <c r="M62" s="21"/>
      <c r="N62" s="27"/>
      <c r="O62" s="27"/>
      <c r="P62" s="27"/>
      <c r="Q62" s="27"/>
      <c r="R62" s="27"/>
      <c r="S62" s="21"/>
      <c r="T62" s="28"/>
      <c r="U62" s="28"/>
      <c r="V62" s="28"/>
      <c r="W62" s="28"/>
      <c r="X62" s="28"/>
      <c r="Y62" s="19"/>
      <c r="Z62" s="18"/>
      <c r="AE62" s="19"/>
      <c r="AH62" s="24"/>
      <c r="AI62" s="30"/>
      <c r="AJ62" s="30"/>
      <c r="AK62" s="30"/>
      <c r="AL62" s="24"/>
      <c r="AM62" s="24"/>
    </row>
    <row r="63" ht="15.75" customHeight="1">
      <c r="B63" s="18"/>
      <c r="C63" s="18"/>
      <c r="D63" s="18"/>
      <c r="E63" s="18"/>
      <c r="F63" s="18"/>
      <c r="G63" s="19"/>
      <c r="H63" s="27"/>
      <c r="I63" s="27"/>
      <c r="J63" s="27"/>
      <c r="K63" s="27"/>
      <c r="L63" s="27"/>
      <c r="M63" s="21"/>
      <c r="N63" s="27"/>
      <c r="O63" s="27"/>
      <c r="P63" s="27"/>
      <c r="Q63" s="27"/>
      <c r="R63" s="27"/>
      <c r="S63" s="21"/>
      <c r="T63" s="28"/>
      <c r="U63" s="28"/>
      <c r="V63" s="28"/>
      <c r="W63" s="28"/>
      <c r="X63" s="28"/>
      <c r="Y63" s="19"/>
      <c r="Z63" s="18"/>
      <c r="AE63" s="19"/>
      <c r="AH63" s="24"/>
      <c r="AI63" s="30"/>
      <c r="AJ63" s="30"/>
      <c r="AK63" s="30"/>
      <c r="AL63" s="24"/>
      <c r="AM63" s="24"/>
    </row>
    <row r="64" ht="15.75" customHeight="1">
      <c r="B64" s="18"/>
      <c r="C64" s="18"/>
      <c r="D64" s="18"/>
      <c r="E64" s="18"/>
      <c r="F64" s="18"/>
      <c r="G64" s="19"/>
      <c r="H64" s="27"/>
      <c r="I64" s="27"/>
      <c r="J64" s="27"/>
      <c r="K64" s="27"/>
      <c r="L64" s="27"/>
      <c r="M64" s="21"/>
      <c r="N64" s="27"/>
      <c r="O64" s="27"/>
      <c r="P64" s="27"/>
      <c r="Q64" s="27"/>
      <c r="R64" s="27"/>
      <c r="S64" s="21"/>
      <c r="T64" s="28"/>
      <c r="U64" s="28"/>
      <c r="V64" s="28"/>
      <c r="W64" s="28"/>
      <c r="X64" s="28"/>
      <c r="Y64" s="19"/>
      <c r="Z64" s="18"/>
      <c r="AE64" s="19"/>
      <c r="AH64" s="24"/>
      <c r="AI64" s="30"/>
      <c r="AJ64" s="30"/>
      <c r="AK64" s="30"/>
      <c r="AL64" s="24"/>
      <c r="AM64" s="24"/>
    </row>
    <row r="65" ht="15.75" customHeight="1">
      <c r="B65" s="18"/>
      <c r="C65" s="18"/>
      <c r="D65" s="18"/>
      <c r="E65" s="18"/>
      <c r="F65" s="18"/>
      <c r="G65" s="19"/>
      <c r="H65" s="27"/>
      <c r="I65" s="27"/>
      <c r="J65" s="27"/>
      <c r="K65" s="27"/>
      <c r="L65" s="27"/>
      <c r="M65" s="21"/>
      <c r="N65" s="27"/>
      <c r="O65" s="27"/>
      <c r="P65" s="27"/>
      <c r="Q65" s="27"/>
      <c r="R65" s="27"/>
      <c r="S65" s="21"/>
      <c r="T65" s="28"/>
      <c r="U65" s="28"/>
      <c r="V65" s="28"/>
      <c r="W65" s="28"/>
      <c r="X65" s="28"/>
      <c r="Y65" s="19"/>
      <c r="Z65" s="18"/>
      <c r="AE65" s="19"/>
      <c r="AH65" s="24"/>
      <c r="AI65" s="30"/>
      <c r="AJ65" s="30"/>
      <c r="AK65" s="30"/>
      <c r="AL65" s="24"/>
      <c r="AM65" s="24"/>
    </row>
    <row r="66" ht="15.75" customHeight="1">
      <c r="B66" s="18"/>
      <c r="C66" s="18"/>
      <c r="D66" s="18"/>
      <c r="E66" s="18"/>
      <c r="F66" s="18"/>
      <c r="G66" s="19"/>
      <c r="H66" s="27"/>
      <c r="I66" s="27"/>
      <c r="J66" s="27"/>
      <c r="K66" s="27"/>
      <c r="L66" s="27"/>
      <c r="M66" s="21"/>
      <c r="N66" s="27"/>
      <c r="O66" s="27"/>
      <c r="P66" s="27"/>
      <c r="Q66" s="27"/>
      <c r="R66" s="27"/>
      <c r="S66" s="21"/>
      <c r="T66" s="28"/>
      <c r="U66" s="28"/>
      <c r="V66" s="28"/>
      <c r="W66" s="28"/>
      <c r="X66" s="28"/>
      <c r="Y66" s="19"/>
      <c r="Z66" s="18"/>
      <c r="AE66" s="19"/>
      <c r="AH66" s="24"/>
      <c r="AI66" s="30"/>
      <c r="AJ66" s="30"/>
      <c r="AK66" s="30"/>
      <c r="AL66" s="24"/>
      <c r="AM66" s="24"/>
    </row>
    <row r="67" ht="15.75" customHeight="1">
      <c r="B67" s="18"/>
      <c r="C67" s="18"/>
      <c r="D67" s="18"/>
      <c r="E67" s="18"/>
      <c r="F67" s="18"/>
      <c r="G67" s="19"/>
      <c r="H67" s="27"/>
      <c r="I67" s="27"/>
      <c r="J67" s="27"/>
      <c r="K67" s="27"/>
      <c r="L67" s="27"/>
      <c r="M67" s="21"/>
      <c r="N67" s="27"/>
      <c r="O67" s="27"/>
      <c r="P67" s="27"/>
      <c r="Q67" s="27"/>
      <c r="R67" s="27"/>
      <c r="S67" s="21"/>
      <c r="T67" s="28"/>
      <c r="U67" s="28"/>
      <c r="V67" s="28"/>
      <c r="W67" s="28"/>
      <c r="X67" s="28"/>
      <c r="Y67" s="19"/>
      <c r="Z67" s="18"/>
      <c r="AE67" s="19"/>
      <c r="AH67" s="24"/>
      <c r="AI67" s="30"/>
      <c r="AJ67" s="30"/>
      <c r="AK67" s="30"/>
      <c r="AL67" s="24"/>
      <c r="AM67" s="24"/>
    </row>
    <row r="68" ht="15.75" customHeight="1">
      <c r="B68" s="18"/>
      <c r="C68" s="18"/>
      <c r="D68" s="18"/>
      <c r="E68" s="18"/>
      <c r="F68" s="18"/>
      <c r="G68" s="19"/>
      <c r="H68" s="27"/>
      <c r="I68" s="27"/>
      <c r="J68" s="27"/>
      <c r="K68" s="27"/>
      <c r="L68" s="27"/>
      <c r="M68" s="21"/>
      <c r="N68" s="27"/>
      <c r="O68" s="27"/>
      <c r="P68" s="27"/>
      <c r="Q68" s="27"/>
      <c r="R68" s="27"/>
      <c r="S68" s="21"/>
      <c r="T68" s="28"/>
      <c r="U68" s="28"/>
      <c r="V68" s="28"/>
      <c r="W68" s="28"/>
      <c r="X68" s="28"/>
      <c r="Y68" s="19"/>
      <c r="Z68" s="18"/>
      <c r="AE68" s="19"/>
      <c r="AH68" s="24"/>
      <c r="AI68" s="30"/>
      <c r="AJ68" s="30"/>
      <c r="AK68" s="30"/>
      <c r="AL68" s="24"/>
      <c r="AM68" s="24"/>
    </row>
    <row r="69" ht="15.75" customHeight="1">
      <c r="B69" s="18"/>
      <c r="C69" s="18"/>
      <c r="D69" s="18"/>
      <c r="E69" s="18"/>
      <c r="F69" s="18"/>
      <c r="G69" s="19"/>
      <c r="H69" s="27"/>
      <c r="I69" s="27"/>
      <c r="J69" s="27"/>
      <c r="K69" s="27"/>
      <c r="L69" s="27"/>
      <c r="M69" s="21"/>
      <c r="N69" s="27"/>
      <c r="O69" s="27"/>
      <c r="P69" s="27"/>
      <c r="Q69" s="27"/>
      <c r="R69" s="27"/>
      <c r="S69" s="21"/>
      <c r="T69" s="28"/>
      <c r="U69" s="28"/>
      <c r="V69" s="28"/>
      <c r="W69" s="28"/>
      <c r="X69" s="28"/>
      <c r="Y69" s="19"/>
      <c r="Z69" s="18"/>
      <c r="AE69" s="19"/>
      <c r="AH69" s="24"/>
      <c r="AI69" s="30"/>
      <c r="AJ69" s="30"/>
      <c r="AK69" s="30"/>
      <c r="AL69" s="24"/>
      <c r="AM69" s="24"/>
    </row>
    <row r="70" ht="15.75" customHeight="1">
      <c r="B70" s="18"/>
      <c r="C70" s="18"/>
      <c r="D70" s="18"/>
      <c r="E70" s="18"/>
      <c r="F70" s="18"/>
      <c r="G70" s="19"/>
      <c r="H70" s="27"/>
      <c r="I70" s="27"/>
      <c r="J70" s="27"/>
      <c r="K70" s="27"/>
      <c r="L70" s="27"/>
      <c r="M70" s="21"/>
      <c r="N70" s="27"/>
      <c r="O70" s="27"/>
      <c r="P70" s="27"/>
      <c r="Q70" s="27"/>
      <c r="R70" s="27"/>
      <c r="S70" s="21"/>
      <c r="T70" s="28"/>
      <c r="U70" s="28"/>
      <c r="V70" s="28"/>
      <c r="W70" s="28"/>
      <c r="X70" s="28"/>
      <c r="Y70" s="19"/>
      <c r="Z70" s="18"/>
      <c r="AE70" s="19"/>
      <c r="AH70" s="24"/>
      <c r="AI70" s="30"/>
      <c r="AJ70" s="30"/>
      <c r="AK70" s="30"/>
      <c r="AL70" s="24"/>
      <c r="AM70" s="24"/>
    </row>
    <row r="71" ht="15.75" customHeight="1">
      <c r="B71" s="18"/>
      <c r="C71" s="18"/>
      <c r="D71" s="18"/>
      <c r="E71" s="18"/>
      <c r="F71" s="18"/>
      <c r="G71" s="19"/>
      <c r="H71" s="27"/>
      <c r="I71" s="27"/>
      <c r="J71" s="27"/>
      <c r="K71" s="27"/>
      <c r="L71" s="27"/>
      <c r="M71" s="21"/>
      <c r="N71" s="27"/>
      <c r="O71" s="27"/>
      <c r="P71" s="27"/>
      <c r="Q71" s="27"/>
      <c r="R71" s="27"/>
      <c r="S71" s="21"/>
      <c r="T71" s="28"/>
      <c r="U71" s="28"/>
      <c r="V71" s="28"/>
      <c r="W71" s="28"/>
      <c r="X71" s="28"/>
      <c r="Y71" s="19"/>
      <c r="Z71" s="18"/>
      <c r="AE71" s="19"/>
      <c r="AH71" s="24"/>
      <c r="AI71" s="30"/>
      <c r="AJ71" s="30"/>
      <c r="AK71" s="30"/>
      <c r="AL71" s="24"/>
      <c r="AM71" s="24"/>
    </row>
    <row r="72" ht="15.75" customHeight="1">
      <c r="B72" s="18"/>
      <c r="C72" s="18"/>
      <c r="D72" s="18"/>
      <c r="E72" s="18"/>
      <c r="F72" s="18"/>
      <c r="G72" s="19"/>
      <c r="H72" s="27"/>
      <c r="I72" s="27"/>
      <c r="J72" s="27"/>
      <c r="K72" s="27"/>
      <c r="L72" s="27"/>
      <c r="M72" s="21"/>
      <c r="N72" s="27"/>
      <c r="O72" s="27"/>
      <c r="P72" s="27"/>
      <c r="Q72" s="27"/>
      <c r="R72" s="27"/>
      <c r="S72" s="21"/>
      <c r="T72" s="28"/>
      <c r="U72" s="28"/>
      <c r="V72" s="28"/>
      <c r="W72" s="28"/>
      <c r="X72" s="28"/>
      <c r="Y72" s="19"/>
      <c r="Z72" s="18"/>
      <c r="AE72" s="19"/>
      <c r="AH72" s="24"/>
      <c r="AI72" s="30"/>
      <c r="AJ72" s="30"/>
      <c r="AK72" s="30"/>
      <c r="AL72" s="24"/>
      <c r="AM72" s="24"/>
    </row>
    <row r="73" ht="15.75" customHeight="1">
      <c r="B73" s="18"/>
      <c r="C73" s="18"/>
      <c r="D73" s="18"/>
      <c r="E73" s="18"/>
      <c r="F73" s="18"/>
      <c r="G73" s="19"/>
      <c r="H73" s="27"/>
      <c r="I73" s="27"/>
      <c r="J73" s="27"/>
      <c r="K73" s="27"/>
      <c r="L73" s="27"/>
      <c r="M73" s="21"/>
      <c r="N73" s="27"/>
      <c r="O73" s="27"/>
      <c r="P73" s="27"/>
      <c r="Q73" s="27"/>
      <c r="R73" s="27"/>
      <c r="S73" s="21"/>
      <c r="T73" s="28"/>
      <c r="U73" s="28"/>
      <c r="V73" s="28"/>
      <c r="W73" s="28"/>
      <c r="X73" s="28"/>
      <c r="Y73" s="19"/>
      <c r="Z73" s="18"/>
      <c r="AE73" s="19"/>
      <c r="AH73" s="24"/>
      <c r="AI73" s="30"/>
      <c r="AJ73" s="30"/>
      <c r="AK73" s="30"/>
      <c r="AL73" s="24"/>
      <c r="AM73" s="24"/>
    </row>
    <row r="74" ht="15.75" customHeight="1">
      <c r="B74" s="18"/>
      <c r="C74" s="18"/>
      <c r="D74" s="18"/>
      <c r="E74" s="18"/>
      <c r="F74" s="18"/>
      <c r="G74" s="19"/>
      <c r="H74" s="27"/>
      <c r="I74" s="27"/>
      <c r="J74" s="27"/>
      <c r="K74" s="27"/>
      <c r="L74" s="27"/>
      <c r="M74" s="21"/>
      <c r="N74" s="27"/>
      <c r="O74" s="27"/>
      <c r="P74" s="27"/>
      <c r="Q74" s="27"/>
      <c r="R74" s="27"/>
      <c r="S74" s="21"/>
      <c r="T74" s="28"/>
      <c r="U74" s="28"/>
      <c r="V74" s="28"/>
      <c r="W74" s="28"/>
      <c r="X74" s="28"/>
      <c r="Y74" s="19"/>
      <c r="Z74" s="18"/>
      <c r="AE74" s="19"/>
      <c r="AH74" s="24"/>
      <c r="AI74" s="30"/>
      <c r="AJ74" s="30"/>
      <c r="AK74" s="30"/>
      <c r="AL74" s="24"/>
      <c r="AM74" s="24"/>
    </row>
    <row r="75" ht="15.75" customHeight="1">
      <c r="B75" s="18"/>
      <c r="C75" s="18"/>
      <c r="D75" s="18"/>
      <c r="E75" s="18"/>
      <c r="F75" s="18"/>
      <c r="G75" s="19"/>
      <c r="H75" s="27"/>
      <c r="I75" s="27"/>
      <c r="J75" s="27"/>
      <c r="K75" s="27"/>
      <c r="L75" s="27"/>
      <c r="M75" s="21"/>
      <c r="N75" s="27"/>
      <c r="O75" s="27"/>
      <c r="P75" s="27"/>
      <c r="Q75" s="27"/>
      <c r="R75" s="27"/>
      <c r="S75" s="21"/>
      <c r="T75" s="28"/>
      <c r="U75" s="28"/>
      <c r="V75" s="28"/>
      <c r="W75" s="28"/>
      <c r="X75" s="28"/>
      <c r="Y75" s="19"/>
      <c r="Z75" s="18"/>
      <c r="AE75" s="19"/>
      <c r="AH75" s="24"/>
      <c r="AI75" s="30"/>
      <c r="AJ75" s="30"/>
      <c r="AK75" s="30"/>
      <c r="AL75" s="24"/>
      <c r="AM75" s="24"/>
    </row>
    <row r="76" ht="15.75" customHeight="1">
      <c r="B76" s="18"/>
      <c r="C76" s="18"/>
      <c r="D76" s="18"/>
      <c r="E76" s="18"/>
      <c r="F76" s="18"/>
      <c r="G76" s="19"/>
      <c r="H76" s="27"/>
      <c r="I76" s="27"/>
      <c r="J76" s="27"/>
      <c r="K76" s="27"/>
      <c r="L76" s="27"/>
      <c r="M76" s="21"/>
      <c r="N76" s="27"/>
      <c r="O76" s="27"/>
      <c r="P76" s="27"/>
      <c r="Q76" s="27"/>
      <c r="R76" s="27"/>
      <c r="S76" s="21"/>
      <c r="T76" s="28"/>
      <c r="U76" s="28"/>
      <c r="V76" s="28"/>
      <c r="W76" s="28"/>
      <c r="X76" s="28"/>
      <c r="Y76" s="19"/>
      <c r="Z76" s="18"/>
      <c r="AE76" s="19"/>
      <c r="AH76" s="24"/>
      <c r="AI76" s="30"/>
      <c r="AJ76" s="30"/>
      <c r="AK76" s="30"/>
      <c r="AL76" s="24"/>
      <c r="AM76" s="24"/>
    </row>
    <row r="77" ht="15.75" customHeight="1">
      <c r="B77" s="18"/>
      <c r="C77" s="18"/>
      <c r="D77" s="18"/>
      <c r="E77" s="18"/>
      <c r="F77" s="18"/>
      <c r="G77" s="19"/>
      <c r="H77" s="27"/>
      <c r="I77" s="27"/>
      <c r="J77" s="27"/>
      <c r="K77" s="27"/>
      <c r="L77" s="27"/>
      <c r="M77" s="21"/>
      <c r="N77" s="27"/>
      <c r="O77" s="27"/>
      <c r="P77" s="27"/>
      <c r="Q77" s="27"/>
      <c r="R77" s="27"/>
      <c r="S77" s="21"/>
      <c r="T77" s="28"/>
      <c r="U77" s="28"/>
      <c r="V77" s="28"/>
      <c r="W77" s="28"/>
      <c r="X77" s="28"/>
      <c r="Y77" s="19"/>
      <c r="Z77" s="18"/>
      <c r="AE77" s="19"/>
      <c r="AH77" s="24"/>
      <c r="AI77" s="30"/>
      <c r="AJ77" s="30"/>
      <c r="AK77" s="30"/>
      <c r="AL77" s="24"/>
      <c r="AM77" s="24"/>
    </row>
    <row r="78" ht="15.75" customHeight="1">
      <c r="B78" s="18"/>
      <c r="C78" s="18"/>
      <c r="D78" s="18"/>
      <c r="E78" s="18"/>
      <c r="F78" s="18"/>
      <c r="G78" s="19"/>
      <c r="H78" s="27"/>
      <c r="I78" s="27"/>
      <c r="J78" s="27"/>
      <c r="K78" s="27"/>
      <c r="L78" s="27"/>
      <c r="M78" s="21"/>
      <c r="N78" s="27"/>
      <c r="O78" s="27"/>
      <c r="P78" s="27"/>
      <c r="Q78" s="27"/>
      <c r="R78" s="27"/>
      <c r="S78" s="21"/>
      <c r="T78" s="28"/>
      <c r="U78" s="28"/>
      <c r="V78" s="28"/>
      <c r="W78" s="28"/>
      <c r="X78" s="28"/>
      <c r="Y78" s="19"/>
      <c r="Z78" s="18"/>
      <c r="AE78" s="19"/>
      <c r="AH78" s="24"/>
      <c r="AI78" s="30"/>
      <c r="AJ78" s="30"/>
      <c r="AK78" s="30"/>
      <c r="AL78" s="24"/>
      <c r="AM78" s="24"/>
    </row>
    <row r="79" ht="15.75" customHeight="1">
      <c r="B79" s="18"/>
      <c r="C79" s="18"/>
      <c r="D79" s="18"/>
      <c r="E79" s="18"/>
      <c r="F79" s="18"/>
      <c r="G79" s="19"/>
      <c r="H79" s="27"/>
      <c r="I79" s="27"/>
      <c r="J79" s="27"/>
      <c r="K79" s="27"/>
      <c r="L79" s="27"/>
      <c r="M79" s="21"/>
      <c r="N79" s="27"/>
      <c r="O79" s="27"/>
      <c r="P79" s="27"/>
      <c r="Q79" s="27"/>
      <c r="R79" s="27"/>
      <c r="S79" s="21"/>
      <c r="T79" s="28"/>
      <c r="U79" s="28"/>
      <c r="V79" s="28"/>
      <c r="W79" s="28"/>
      <c r="X79" s="28"/>
      <c r="Y79" s="19"/>
      <c r="Z79" s="18"/>
      <c r="AE79" s="19"/>
      <c r="AH79" s="24"/>
      <c r="AI79" s="30"/>
      <c r="AJ79" s="30"/>
      <c r="AK79" s="30"/>
      <c r="AL79" s="24"/>
      <c r="AM79" s="24"/>
    </row>
    <row r="80" ht="15.75" customHeight="1">
      <c r="B80" s="18"/>
      <c r="C80" s="18"/>
      <c r="D80" s="18"/>
      <c r="E80" s="18"/>
      <c r="F80" s="18"/>
      <c r="G80" s="19"/>
      <c r="H80" s="27"/>
      <c r="I80" s="27"/>
      <c r="J80" s="27"/>
      <c r="K80" s="27"/>
      <c r="L80" s="27"/>
      <c r="M80" s="21"/>
      <c r="N80" s="27"/>
      <c r="O80" s="27"/>
      <c r="P80" s="27"/>
      <c r="Q80" s="27"/>
      <c r="R80" s="27"/>
      <c r="S80" s="21"/>
      <c r="T80" s="28"/>
      <c r="U80" s="28"/>
      <c r="V80" s="28"/>
      <c r="W80" s="28"/>
      <c r="X80" s="28"/>
      <c r="Y80" s="19"/>
      <c r="Z80" s="18"/>
      <c r="AE80" s="19"/>
      <c r="AH80" s="24"/>
      <c r="AI80" s="30"/>
      <c r="AJ80" s="30"/>
      <c r="AK80" s="30"/>
      <c r="AL80" s="24"/>
      <c r="AM80" s="24"/>
    </row>
    <row r="81" ht="15.75" customHeight="1">
      <c r="B81" s="18"/>
      <c r="C81" s="18"/>
      <c r="D81" s="18"/>
      <c r="E81" s="18"/>
      <c r="F81" s="18"/>
      <c r="G81" s="19"/>
      <c r="H81" s="27"/>
      <c r="I81" s="27"/>
      <c r="J81" s="27"/>
      <c r="K81" s="27"/>
      <c r="L81" s="27"/>
      <c r="M81" s="21"/>
      <c r="N81" s="27"/>
      <c r="O81" s="27"/>
      <c r="P81" s="27"/>
      <c r="Q81" s="27"/>
      <c r="R81" s="27"/>
      <c r="S81" s="21"/>
      <c r="T81" s="28"/>
      <c r="U81" s="28"/>
      <c r="V81" s="28"/>
      <c r="W81" s="28"/>
      <c r="X81" s="28"/>
      <c r="Y81" s="19"/>
      <c r="Z81" s="18"/>
      <c r="AE81" s="19"/>
      <c r="AH81" s="24"/>
      <c r="AI81" s="30"/>
      <c r="AJ81" s="30"/>
      <c r="AK81" s="30"/>
      <c r="AL81" s="24"/>
      <c r="AM81" s="24"/>
    </row>
    <row r="82" ht="15.75" customHeight="1">
      <c r="B82" s="18"/>
      <c r="C82" s="18"/>
      <c r="D82" s="18"/>
      <c r="E82" s="18"/>
      <c r="F82" s="18"/>
      <c r="G82" s="19"/>
      <c r="H82" s="27"/>
      <c r="I82" s="27"/>
      <c r="J82" s="27"/>
      <c r="K82" s="27"/>
      <c r="L82" s="27"/>
      <c r="M82" s="21"/>
      <c r="N82" s="27"/>
      <c r="O82" s="27"/>
      <c r="P82" s="27"/>
      <c r="Q82" s="27"/>
      <c r="R82" s="27"/>
      <c r="S82" s="21"/>
      <c r="T82" s="28"/>
      <c r="U82" s="28"/>
      <c r="V82" s="28"/>
      <c r="W82" s="28"/>
      <c r="X82" s="28"/>
      <c r="Y82" s="19"/>
      <c r="Z82" s="18"/>
      <c r="AE82" s="19"/>
      <c r="AH82" s="24"/>
      <c r="AI82" s="30"/>
      <c r="AJ82" s="30"/>
      <c r="AK82" s="30"/>
      <c r="AL82" s="24"/>
      <c r="AM82" s="24"/>
    </row>
    <row r="83" ht="15.75" customHeight="1">
      <c r="B83" s="18"/>
      <c r="C83" s="18"/>
      <c r="D83" s="18"/>
      <c r="E83" s="18"/>
      <c r="F83" s="18"/>
      <c r="G83" s="19"/>
      <c r="H83" s="27"/>
      <c r="I83" s="27"/>
      <c r="J83" s="27"/>
      <c r="K83" s="27"/>
      <c r="L83" s="27"/>
      <c r="M83" s="21"/>
      <c r="N83" s="27"/>
      <c r="O83" s="27"/>
      <c r="P83" s="27"/>
      <c r="Q83" s="27"/>
      <c r="R83" s="27"/>
      <c r="S83" s="21"/>
      <c r="T83" s="28"/>
      <c r="U83" s="28"/>
      <c r="V83" s="28"/>
      <c r="W83" s="28"/>
      <c r="X83" s="28"/>
      <c r="Y83" s="19"/>
      <c r="Z83" s="18"/>
      <c r="AE83" s="19"/>
      <c r="AH83" s="24"/>
      <c r="AI83" s="30"/>
      <c r="AJ83" s="30"/>
      <c r="AK83" s="30"/>
      <c r="AL83" s="24"/>
      <c r="AM83" s="24"/>
    </row>
    <row r="84" ht="15.75" customHeight="1">
      <c r="B84" s="18"/>
      <c r="C84" s="18"/>
      <c r="D84" s="18"/>
      <c r="E84" s="18"/>
      <c r="F84" s="18"/>
      <c r="G84" s="19"/>
      <c r="H84" s="27"/>
      <c r="I84" s="27"/>
      <c r="J84" s="27"/>
      <c r="K84" s="27"/>
      <c r="L84" s="27"/>
      <c r="M84" s="21"/>
      <c r="N84" s="27"/>
      <c r="O84" s="27"/>
      <c r="P84" s="27"/>
      <c r="Q84" s="27"/>
      <c r="R84" s="27"/>
      <c r="S84" s="21"/>
      <c r="T84" s="28"/>
      <c r="U84" s="28"/>
      <c r="V84" s="28"/>
      <c r="W84" s="28"/>
      <c r="X84" s="28"/>
      <c r="Y84" s="19"/>
      <c r="Z84" s="18"/>
      <c r="AE84" s="19"/>
      <c r="AH84" s="24"/>
      <c r="AI84" s="30"/>
      <c r="AJ84" s="30"/>
      <c r="AK84" s="30"/>
      <c r="AL84" s="24"/>
      <c r="AM84" s="24"/>
    </row>
    <row r="85" ht="15.75" customHeight="1">
      <c r="B85" s="18"/>
      <c r="C85" s="18"/>
      <c r="D85" s="18"/>
      <c r="E85" s="18"/>
      <c r="F85" s="18"/>
      <c r="G85" s="19"/>
      <c r="H85" s="27"/>
      <c r="I85" s="27"/>
      <c r="J85" s="27"/>
      <c r="K85" s="27"/>
      <c r="L85" s="27"/>
      <c r="M85" s="21"/>
      <c r="N85" s="27"/>
      <c r="O85" s="27"/>
      <c r="P85" s="27"/>
      <c r="Q85" s="27"/>
      <c r="R85" s="27"/>
      <c r="S85" s="21"/>
      <c r="T85" s="28"/>
      <c r="U85" s="28"/>
      <c r="V85" s="28"/>
      <c r="W85" s="28"/>
      <c r="X85" s="28"/>
      <c r="Y85" s="19"/>
      <c r="Z85" s="18"/>
      <c r="AE85" s="19"/>
      <c r="AH85" s="24"/>
      <c r="AI85" s="30"/>
      <c r="AJ85" s="30"/>
      <c r="AK85" s="30"/>
      <c r="AL85" s="24"/>
      <c r="AM85" s="24"/>
    </row>
    <row r="86" ht="15.75" customHeight="1">
      <c r="B86" s="18"/>
      <c r="C86" s="18"/>
      <c r="D86" s="18"/>
      <c r="E86" s="18"/>
      <c r="F86" s="18"/>
      <c r="G86" s="19"/>
      <c r="H86" s="27"/>
      <c r="I86" s="27"/>
      <c r="J86" s="27"/>
      <c r="K86" s="27"/>
      <c r="L86" s="27"/>
      <c r="M86" s="21"/>
      <c r="N86" s="27"/>
      <c r="O86" s="27"/>
      <c r="P86" s="27"/>
      <c r="Q86" s="27"/>
      <c r="R86" s="27"/>
      <c r="S86" s="21"/>
      <c r="T86" s="28"/>
      <c r="U86" s="28"/>
      <c r="V86" s="28"/>
      <c r="W86" s="28"/>
      <c r="X86" s="28"/>
      <c r="Y86" s="19"/>
      <c r="Z86" s="18"/>
      <c r="AE86" s="19"/>
      <c r="AH86" s="24"/>
      <c r="AI86" s="30"/>
      <c r="AJ86" s="30"/>
      <c r="AK86" s="30"/>
      <c r="AL86" s="24"/>
      <c r="AM86" s="24"/>
    </row>
    <row r="87" ht="15.75" customHeight="1">
      <c r="B87" s="18"/>
      <c r="C87" s="18"/>
      <c r="D87" s="18"/>
      <c r="E87" s="18"/>
      <c r="F87" s="18"/>
      <c r="G87" s="19"/>
      <c r="H87" s="27"/>
      <c r="I87" s="27"/>
      <c r="J87" s="27"/>
      <c r="K87" s="27"/>
      <c r="L87" s="27"/>
      <c r="M87" s="21"/>
      <c r="N87" s="27"/>
      <c r="O87" s="27"/>
      <c r="P87" s="27"/>
      <c r="Q87" s="27"/>
      <c r="R87" s="27"/>
      <c r="S87" s="21"/>
      <c r="T87" s="28"/>
      <c r="U87" s="28"/>
      <c r="V87" s="28"/>
      <c r="W87" s="28"/>
      <c r="X87" s="28"/>
      <c r="Y87" s="19"/>
      <c r="Z87" s="18"/>
      <c r="AE87" s="19"/>
      <c r="AH87" s="24"/>
      <c r="AI87" s="30"/>
      <c r="AJ87" s="30"/>
      <c r="AK87" s="30"/>
      <c r="AL87" s="24"/>
      <c r="AM87" s="24"/>
    </row>
    <row r="88" ht="15.75" customHeight="1">
      <c r="B88" s="18"/>
      <c r="C88" s="18"/>
      <c r="D88" s="18"/>
      <c r="E88" s="18"/>
      <c r="F88" s="18"/>
      <c r="G88" s="19"/>
      <c r="H88" s="27"/>
      <c r="I88" s="27"/>
      <c r="J88" s="27"/>
      <c r="K88" s="27"/>
      <c r="L88" s="27"/>
      <c r="M88" s="21"/>
      <c r="N88" s="27"/>
      <c r="O88" s="27"/>
      <c r="P88" s="27"/>
      <c r="Q88" s="27"/>
      <c r="R88" s="27"/>
      <c r="S88" s="21"/>
      <c r="T88" s="28"/>
      <c r="U88" s="28"/>
      <c r="V88" s="28"/>
      <c r="W88" s="28"/>
      <c r="X88" s="28"/>
      <c r="Y88" s="19"/>
      <c r="Z88" s="18"/>
      <c r="AE88" s="19"/>
      <c r="AH88" s="24"/>
      <c r="AI88" s="30"/>
      <c r="AJ88" s="30"/>
      <c r="AK88" s="30"/>
      <c r="AL88" s="24"/>
      <c r="AM88" s="24"/>
    </row>
    <row r="89" ht="15.75" customHeight="1">
      <c r="B89" s="18"/>
      <c r="C89" s="18"/>
      <c r="D89" s="18"/>
      <c r="E89" s="18"/>
      <c r="F89" s="18"/>
      <c r="G89" s="19"/>
      <c r="H89" s="27"/>
      <c r="I89" s="27"/>
      <c r="J89" s="27"/>
      <c r="K89" s="27"/>
      <c r="L89" s="27"/>
      <c r="M89" s="21"/>
      <c r="N89" s="27"/>
      <c r="O89" s="27"/>
      <c r="P89" s="27"/>
      <c r="Q89" s="27"/>
      <c r="R89" s="27"/>
      <c r="S89" s="21"/>
      <c r="T89" s="28"/>
      <c r="U89" s="28"/>
      <c r="V89" s="28"/>
      <c r="W89" s="28"/>
      <c r="X89" s="28"/>
      <c r="Y89" s="19"/>
      <c r="Z89" s="18"/>
      <c r="AE89" s="19"/>
      <c r="AH89" s="24"/>
      <c r="AI89" s="30"/>
      <c r="AJ89" s="30"/>
      <c r="AK89" s="30"/>
      <c r="AL89" s="24"/>
      <c r="AM89" s="24"/>
    </row>
    <row r="90" ht="15.75" customHeight="1">
      <c r="B90" s="18"/>
      <c r="C90" s="18"/>
      <c r="D90" s="18"/>
      <c r="E90" s="18"/>
      <c r="F90" s="18"/>
      <c r="G90" s="19"/>
      <c r="H90" s="27"/>
      <c r="I90" s="27"/>
      <c r="J90" s="27"/>
      <c r="K90" s="27"/>
      <c r="L90" s="27"/>
      <c r="M90" s="21"/>
      <c r="N90" s="27"/>
      <c r="O90" s="27"/>
      <c r="P90" s="27"/>
      <c r="Q90" s="27"/>
      <c r="R90" s="27"/>
      <c r="S90" s="21"/>
      <c r="T90" s="28"/>
      <c r="U90" s="28"/>
      <c r="V90" s="28"/>
      <c r="W90" s="28"/>
      <c r="X90" s="28"/>
      <c r="Y90" s="19"/>
      <c r="Z90" s="18"/>
      <c r="AE90" s="19"/>
      <c r="AH90" s="24"/>
      <c r="AI90" s="30"/>
      <c r="AJ90" s="30"/>
      <c r="AK90" s="30"/>
      <c r="AL90" s="24"/>
      <c r="AM90" s="24"/>
    </row>
    <row r="91" ht="15.75" customHeight="1">
      <c r="B91" s="18"/>
      <c r="C91" s="18"/>
      <c r="D91" s="18"/>
      <c r="E91" s="18"/>
      <c r="F91" s="18"/>
      <c r="G91" s="19"/>
      <c r="H91" s="27"/>
      <c r="I91" s="27"/>
      <c r="J91" s="27"/>
      <c r="K91" s="27"/>
      <c r="L91" s="27"/>
      <c r="M91" s="21"/>
      <c r="N91" s="27"/>
      <c r="O91" s="27"/>
      <c r="P91" s="27"/>
      <c r="Q91" s="27"/>
      <c r="R91" s="27"/>
      <c r="S91" s="21"/>
      <c r="T91" s="28"/>
      <c r="U91" s="28"/>
      <c r="V91" s="28"/>
      <c r="W91" s="28"/>
      <c r="X91" s="28"/>
      <c r="Y91" s="19"/>
      <c r="Z91" s="18"/>
      <c r="AE91" s="19"/>
      <c r="AH91" s="24"/>
      <c r="AI91" s="30"/>
      <c r="AJ91" s="30"/>
      <c r="AK91" s="30"/>
      <c r="AL91" s="24"/>
      <c r="AM91" s="24"/>
    </row>
    <row r="92" ht="15.75" customHeight="1">
      <c r="B92" s="18"/>
      <c r="C92" s="18"/>
      <c r="D92" s="18"/>
      <c r="E92" s="18"/>
      <c r="F92" s="18"/>
      <c r="G92" s="19"/>
      <c r="H92" s="27"/>
      <c r="I92" s="27"/>
      <c r="J92" s="27"/>
      <c r="K92" s="27"/>
      <c r="L92" s="27"/>
      <c r="M92" s="21"/>
      <c r="N92" s="27"/>
      <c r="O92" s="27"/>
      <c r="P92" s="27"/>
      <c r="Q92" s="27"/>
      <c r="R92" s="27"/>
      <c r="S92" s="21"/>
      <c r="T92" s="28"/>
      <c r="U92" s="28"/>
      <c r="V92" s="28"/>
      <c r="W92" s="28"/>
      <c r="X92" s="28"/>
      <c r="Y92" s="19"/>
      <c r="Z92" s="18"/>
      <c r="AE92" s="19"/>
      <c r="AH92" s="24"/>
      <c r="AI92" s="30"/>
      <c r="AJ92" s="30"/>
      <c r="AK92" s="30"/>
      <c r="AL92" s="24"/>
      <c r="AM92" s="24"/>
    </row>
    <row r="93" ht="15.75" customHeight="1">
      <c r="B93" s="18"/>
      <c r="C93" s="18"/>
      <c r="D93" s="18"/>
      <c r="E93" s="18"/>
      <c r="F93" s="18"/>
      <c r="G93" s="19"/>
      <c r="H93" s="27"/>
      <c r="I93" s="27"/>
      <c r="J93" s="27"/>
      <c r="K93" s="27"/>
      <c r="L93" s="27"/>
      <c r="M93" s="21"/>
      <c r="N93" s="27"/>
      <c r="O93" s="27"/>
      <c r="P93" s="27"/>
      <c r="Q93" s="27"/>
      <c r="R93" s="27"/>
      <c r="S93" s="21"/>
      <c r="T93" s="28"/>
      <c r="U93" s="28"/>
      <c r="V93" s="28"/>
      <c r="W93" s="28"/>
      <c r="X93" s="28"/>
      <c r="Y93" s="19"/>
      <c r="Z93" s="18"/>
      <c r="AE93" s="19"/>
      <c r="AH93" s="24"/>
      <c r="AI93" s="30"/>
      <c r="AJ93" s="30"/>
      <c r="AK93" s="30"/>
      <c r="AL93" s="24"/>
      <c r="AM93" s="24"/>
    </row>
    <row r="94" ht="15.75" customHeight="1">
      <c r="B94" s="18"/>
      <c r="C94" s="18"/>
      <c r="D94" s="18"/>
      <c r="E94" s="18"/>
      <c r="F94" s="18"/>
      <c r="G94" s="19"/>
      <c r="H94" s="27"/>
      <c r="I94" s="27"/>
      <c r="J94" s="27"/>
      <c r="K94" s="27"/>
      <c r="L94" s="27"/>
      <c r="M94" s="21"/>
      <c r="N94" s="27"/>
      <c r="O94" s="27"/>
      <c r="P94" s="27"/>
      <c r="Q94" s="27"/>
      <c r="R94" s="27"/>
      <c r="S94" s="21"/>
      <c r="T94" s="28"/>
      <c r="U94" s="28"/>
      <c r="V94" s="28"/>
      <c r="W94" s="28"/>
      <c r="X94" s="28"/>
      <c r="Y94" s="19"/>
      <c r="Z94" s="18"/>
      <c r="AE94" s="19"/>
      <c r="AH94" s="24"/>
      <c r="AI94" s="30"/>
      <c r="AJ94" s="30"/>
      <c r="AK94" s="30"/>
      <c r="AL94" s="24"/>
      <c r="AM94" s="24"/>
    </row>
    <row r="95" ht="15.75" customHeight="1">
      <c r="B95" s="18"/>
      <c r="C95" s="18"/>
      <c r="D95" s="18"/>
      <c r="E95" s="18"/>
      <c r="F95" s="18"/>
      <c r="G95" s="19"/>
      <c r="H95" s="27"/>
      <c r="I95" s="27"/>
      <c r="J95" s="27"/>
      <c r="K95" s="27"/>
      <c r="L95" s="27"/>
      <c r="M95" s="21"/>
      <c r="N95" s="27"/>
      <c r="O95" s="27"/>
      <c r="P95" s="27"/>
      <c r="Q95" s="27"/>
      <c r="R95" s="27"/>
      <c r="S95" s="21"/>
      <c r="T95" s="28"/>
      <c r="U95" s="28"/>
      <c r="V95" s="28"/>
      <c r="W95" s="28"/>
      <c r="X95" s="28"/>
      <c r="Y95" s="19"/>
      <c r="Z95" s="18"/>
      <c r="AE95" s="19"/>
      <c r="AH95" s="24"/>
      <c r="AI95" s="30"/>
      <c r="AJ95" s="30"/>
      <c r="AK95" s="30"/>
      <c r="AL95" s="24"/>
      <c r="AM95" s="24"/>
    </row>
    <row r="96" ht="15.75" customHeight="1">
      <c r="B96" s="18"/>
      <c r="C96" s="18"/>
      <c r="D96" s="18"/>
      <c r="E96" s="18"/>
      <c r="F96" s="18"/>
      <c r="G96" s="19"/>
      <c r="H96" s="27"/>
      <c r="I96" s="27"/>
      <c r="J96" s="27"/>
      <c r="K96" s="27"/>
      <c r="L96" s="27"/>
      <c r="M96" s="21"/>
      <c r="N96" s="27"/>
      <c r="O96" s="27"/>
      <c r="P96" s="27"/>
      <c r="Q96" s="27"/>
      <c r="R96" s="27"/>
      <c r="S96" s="21"/>
      <c r="T96" s="28"/>
      <c r="U96" s="28"/>
      <c r="V96" s="28"/>
      <c r="W96" s="28"/>
      <c r="X96" s="28"/>
      <c r="Y96" s="19"/>
      <c r="Z96" s="18"/>
      <c r="AE96" s="19"/>
      <c r="AH96" s="24"/>
      <c r="AI96" s="30"/>
      <c r="AJ96" s="30"/>
      <c r="AK96" s="30"/>
      <c r="AL96" s="24"/>
      <c r="AM96" s="24"/>
    </row>
    <row r="97" ht="15.75" customHeight="1">
      <c r="B97" s="18"/>
      <c r="C97" s="18"/>
      <c r="D97" s="18"/>
      <c r="E97" s="18"/>
      <c r="F97" s="18"/>
      <c r="G97" s="19"/>
      <c r="H97" s="27"/>
      <c r="I97" s="27"/>
      <c r="J97" s="27"/>
      <c r="K97" s="27"/>
      <c r="L97" s="27"/>
      <c r="M97" s="21"/>
      <c r="N97" s="27"/>
      <c r="O97" s="27"/>
      <c r="P97" s="27"/>
      <c r="Q97" s="27"/>
      <c r="R97" s="27"/>
      <c r="S97" s="21"/>
      <c r="T97" s="28"/>
      <c r="U97" s="28"/>
      <c r="V97" s="28"/>
      <c r="W97" s="28"/>
      <c r="X97" s="28"/>
      <c r="Y97" s="19"/>
      <c r="Z97" s="18"/>
      <c r="AE97" s="19"/>
      <c r="AH97" s="24"/>
      <c r="AI97" s="30"/>
      <c r="AJ97" s="30"/>
      <c r="AK97" s="30"/>
      <c r="AL97" s="24"/>
      <c r="AM97" s="24"/>
    </row>
    <row r="98" ht="15.75" customHeight="1">
      <c r="B98" s="18"/>
      <c r="C98" s="18"/>
      <c r="D98" s="18"/>
      <c r="E98" s="18"/>
      <c r="F98" s="18"/>
      <c r="G98" s="19"/>
      <c r="H98" s="27"/>
      <c r="I98" s="27"/>
      <c r="J98" s="27"/>
      <c r="K98" s="27"/>
      <c r="L98" s="27"/>
      <c r="M98" s="21"/>
      <c r="N98" s="27"/>
      <c r="O98" s="27"/>
      <c r="P98" s="27"/>
      <c r="Q98" s="27"/>
      <c r="R98" s="27"/>
      <c r="S98" s="21"/>
      <c r="T98" s="28"/>
      <c r="U98" s="28"/>
      <c r="V98" s="28"/>
      <c r="W98" s="28"/>
      <c r="X98" s="28"/>
      <c r="Y98" s="19"/>
      <c r="Z98" s="18"/>
      <c r="AE98" s="19"/>
      <c r="AH98" s="24"/>
      <c r="AI98" s="30"/>
      <c r="AJ98" s="30"/>
      <c r="AK98" s="30"/>
      <c r="AL98" s="24"/>
      <c r="AM98" s="24"/>
    </row>
    <row r="99" ht="15.75" customHeight="1">
      <c r="B99" s="18"/>
      <c r="C99" s="18"/>
      <c r="D99" s="18"/>
      <c r="E99" s="18"/>
      <c r="F99" s="18"/>
      <c r="G99" s="19"/>
      <c r="H99" s="27"/>
      <c r="I99" s="27"/>
      <c r="J99" s="27"/>
      <c r="K99" s="27"/>
      <c r="L99" s="27"/>
      <c r="M99" s="21"/>
      <c r="N99" s="27"/>
      <c r="O99" s="27"/>
      <c r="P99" s="27"/>
      <c r="Q99" s="27"/>
      <c r="R99" s="27"/>
      <c r="S99" s="21"/>
      <c r="T99" s="28"/>
      <c r="U99" s="28"/>
      <c r="V99" s="28"/>
      <c r="W99" s="28"/>
      <c r="X99" s="28"/>
      <c r="Y99" s="19"/>
      <c r="Z99" s="18"/>
      <c r="AE99" s="19"/>
      <c r="AH99" s="24"/>
      <c r="AI99" s="30"/>
      <c r="AJ99" s="30"/>
      <c r="AK99" s="30"/>
      <c r="AL99" s="24"/>
      <c r="AM99" s="24"/>
    </row>
    <row r="100" ht="15.75" customHeight="1">
      <c r="B100" s="18"/>
      <c r="C100" s="18"/>
      <c r="D100" s="18"/>
      <c r="E100" s="18"/>
      <c r="F100" s="18"/>
      <c r="G100" s="19"/>
      <c r="H100" s="27"/>
      <c r="I100" s="27"/>
      <c r="J100" s="27"/>
      <c r="K100" s="27"/>
      <c r="L100" s="27"/>
      <c r="M100" s="21"/>
      <c r="N100" s="27"/>
      <c r="O100" s="27"/>
      <c r="P100" s="27"/>
      <c r="Q100" s="27"/>
      <c r="R100" s="27"/>
      <c r="S100" s="21"/>
      <c r="T100" s="28"/>
      <c r="U100" s="28"/>
      <c r="V100" s="28"/>
      <c r="W100" s="28"/>
      <c r="X100" s="28"/>
      <c r="Y100" s="19"/>
      <c r="Z100" s="18"/>
      <c r="AE100" s="19"/>
      <c r="AH100" s="24"/>
      <c r="AI100" s="30"/>
      <c r="AJ100" s="30"/>
      <c r="AK100" s="30"/>
      <c r="AL100" s="24"/>
      <c r="AM100" s="24"/>
    </row>
    <row r="101" ht="15.75" customHeight="1">
      <c r="B101" s="18"/>
      <c r="C101" s="18"/>
      <c r="D101" s="18"/>
      <c r="E101" s="18"/>
      <c r="F101" s="18"/>
      <c r="G101" s="19"/>
      <c r="H101" s="27"/>
      <c r="I101" s="27"/>
      <c r="J101" s="27"/>
      <c r="K101" s="27"/>
      <c r="L101" s="27"/>
      <c r="M101" s="21"/>
      <c r="N101" s="27"/>
      <c r="O101" s="27"/>
      <c r="P101" s="27"/>
      <c r="Q101" s="27"/>
      <c r="R101" s="27"/>
      <c r="S101" s="21"/>
      <c r="T101" s="28"/>
      <c r="U101" s="28"/>
      <c r="V101" s="28"/>
      <c r="W101" s="28"/>
      <c r="X101" s="28"/>
      <c r="Y101" s="19"/>
      <c r="Z101" s="18"/>
      <c r="AE101" s="19"/>
      <c r="AH101" s="24"/>
      <c r="AI101" s="30"/>
      <c r="AJ101" s="30"/>
      <c r="AK101" s="30"/>
      <c r="AL101" s="24"/>
      <c r="AM101" s="24"/>
    </row>
    <row r="102" ht="15.75" customHeight="1">
      <c r="B102" s="18"/>
      <c r="C102" s="18"/>
      <c r="D102" s="18"/>
      <c r="E102" s="18"/>
      <c r="F102" s="18"/>
      <c r="G102" s="19"/>
      <c r="H102" s="27"/>
      <c r="I102" s="27"/>
      <c r="J102" s="27"/>
      <c r="K102" s="27"/>
      <c r="L102" s="27"/>
      <c r="M102" s="21"/>
      <c r="N102" s="27"/>
      <c r="O102" s="27"/>
      <c r="P102" s="27"/>
      <c r="Q102" s="27"/>
      <c r="R102" s="27"/>
      <c r="S102" s="21"/>
      <c r="T102" s="28"/>
      <c r="U102" s="28"/>
      <c r="V102" s="28"/>
      <c r="W102" s="28"/>
      <c r="X102" s="28"/>
      <c r="Y102" s="19"/>
      <c r="Z102" s="18"/>
      <c r="AE102" s="19"/>
      <c r="AH102" s="24"/>
      <c r="AI102" s="30"/>
      <c r="AJ102" s="30"/>
      <c r="AK102" s="30"/>
      <c r="AL102" s="24"/>
      <c r="AM102" s="24"/>
    </row>
    <row r="103" ht="15.75" customHeight="1">
      <c r="B103" s="18"/>
      <c r="C103" s="18"/>
      <c r="D103" s="18"/>
      <c r="E103" s="18"/>
      <c r="F103" s="18"/>
      <c r="G103" s="19"/>
      <c r="H103" s="27"/>
      <c r="I103" s="27"/>
      <c r="J103" s="27"/>
      <c r="K103" s="27"/>
      <c r="L103" s="27"/>
      <c r="M103" s="21"/>
      <c r="N103" s="27"/>
      <c r="O103" s="27"/>
      <c r="P103" s="27"/>
      <c r="Q103" s="27"/>
      <c r="R103" s="27"/>
      <c r="S103" s="21"/>
      <c r="T103" s="28"/>
      <c r="U103" s="28"/>
      <c r="V103" s="28"/>
      <c r="W103" s="28"/>
      <c r="X103" s="28"/>
      <c r="Y103" s="19"/>
      <c r="Z103" s="18"/>
      <c r="AE103" s="19"/>
      <c r="AH103" s="24"/>
      <c r="AI103" s="30"/>
      <c r="AJ103" s="30"/>
      <c r="AK103" s="30"/>
      <c r="AL103" s="24"/>
      <c r="AM103" s="24"/>
    </row>
    <row r="104" ht="15.75" customHeight="1">
      <c r="B104" s="18"/>
      <c r="C104" s="18"/>
      <c r="D104" s="18"/>
      <c r="E104" s="18"/>
      <c r="F104" s="18"/>
      <c r="G104" s="19"/>
      <c r="H104" s="27"/>
      <c r="I104" s="27"/>
      <c r="J104" s="27"/>
      <c r="K104" s="27"/>
      <c r="L104" s="27"/>
      <c r="M104" s="21"/>
      <c r="N104" s="27"/>
      <c r="O104" s="27"/>
      <c r="P104" s="27"/>
      <c r="Q104" s="27"/>
      <c r="R104" s="27"/>
      <c r="S104" s="21"/>
      <c r="T104" s="28"/>
      <c r="U104" s="28"/>
      <c r="V104" s="28"/>
      <c r="W104" s="28"/>
      <c r="X104" s="28"/>
      <c r="Y104" s="19"/>
      <c r="Z104" s="18"/>
      <c r="AE104" s="19"/>
      <c r="AH104" s="24"/>
      <c r="AI104" s="30"/>
      <c r="AJ104" s="30"/>
      <c r="AK104" s="30"/>
      <c r="AL104" s="24"/>
      <c r="AM104" s="24"/>
    </row>
    <row r="105" ht="15.75" customHeight="1">
      <c r="B105" s="18"/>
      <c r="C105" s="18"/>
      <c r="D105" s="18"/>
      <c r="E105" s="18"/>
      <c r="F105" s="18"/>
      <c r="G105" s="19"/>
      <c r="H105" s="27"/>
      <c r="I105" s="27"/>
      <c r="J105" s="27"/>
      <c r="K105" s="27"/>
      <c r="L105" s="27"/>
      <c r="M105" s="21"/>
      <c r="N105" s="27"/>
      <c r="O105" s="27"/>
      <c r="P105" s="27"/>
      <c r="Q105" s="27"/>
      <c r="R105" s="27"/>
      <c r="S105" s="21"/>
      <c r="T105" s="28"/>
      <c r="U105" s="28"/>
      <c r="V105" s="28"/>
      <c r="W105" s="28"/>
      <c r="X105" s="28"/>
      <c r="Y105" s="19"/>
      <c r="Z105" s="18"/>
      <c r="AE105" s="19"/>
      <c r="AH105" s="24"/>
      <c r="AI105" s="30"/>
      <c r="AJ105" s="30"/>
      <c r="AK105" s="30"/>
      <c r="AL105" s="24"/>
      <c r="AM105" s="24"/>
    </row>
    <row r="106" ht="15.75" customHeight="1">
      <c r="B106" s="18"/>
      <c r="C106" s="18"/>
      <c r="D106" s="18"/>
      <c r="E106" s="18"/>
      <c r="F106" s="18"/>
      <c r="G106" s="19"/>
      <c r="H106" s="27"/>
      <c r="I106" s="27"/>
      <c r="J106" s="27"/>
      <c r="K106" s="27"/>
      <c r="L106" s="27"/>
      <c r="M106" s="21"/>
      <c r="N106" s="27"/>
      <c r="O106" s="27"/>
      <c r="P106" s="27"/>
      <c r="Q106" s="27"/>
      <c r="R106" s="27"/>
      <c r="S106" s="21"/>
      <c r="T106" s="28"/>
      <c r="U106" s="28"/>
      <c r="V106" s="28"/>
      <c r="W106" s="28"/>
      <c r="X106" s="28"/>
      <c r="Y106" s="19"/>
      <c r="Z106" s="18"/>
      <c r="AE106" s="19"/>
      <c r="AH106" s="24"/>
      <c r="AI106" s="30"/>
      <c r="AJ106" s="30"/>
      <c r="AK106" s="30"/>
      <c r="AL106" s="24"/>
      <c r="AM106" s="24"/>
    </row>
    <row r="107" ht="15.75" customHeight="1">
      <c r="B107" s="18"/>
      <c r="C107" s="18"/>
      <c r="D107" s="18"/>
      <c r="E107" s="18"/>
      <c r="F107" s="18"/>
      <c r="G107" s="19"/>
      <c r="H107" s="27"/>
      <c r="I107" s="27"/>
      <c r="J107" s="27"/>
      <c r="K107" s="27"/>
      <c r="L107" s="27"/>
      <c r="M107" s="21"/>
      <c r="N107" s="27"/>
      <c r="O107" s="27"/>
      <c r="P107" s="27"/>
      <c r="Q107" s="27"/>
      <c r="R107" s="27"/>
      <c r="S107" s="21"/>
      <c r="T107" s="28"/>
      <c r="U107" s="28"/>
      <c r="V107" s="28"/>
      <c r="W107" s="28"/>
      <c r="X107" s="28"/>
      <c r="Y107" s="19"/>
      <c r="Z107" s="18"/>
      <c r="AE107" s="19"/>
      <c r="AH107" s="24"/>
      <c r="AI107" s="30"/>
      <c r="AJ107" s="30"/>
      <c r="AK107" s="30"/>
      <c r="AL107" s="24"/>
      <c r="AM107" s="24"/>
    </row>
    <row r="108" ht="15.75" customHeight="1">
      <c r="B108" s="18"/>
      <c r="C108" s="18"/>
      <c r="D108" s="18"/>
      <c r="E108" s="18"/>
      <c r="F108" s="18"/>
      <c r="G108" s="19"/>
      <c r="H108" s="27"/>
      <c r="I108" s="27"/>
      <c r="J108" s="27"/>
      <c r="K108" s="27"/>
      <c r="L108" s="27"/>
      <c r="M108" s="21"/>
      <c r="N108" s="27"/>
      <c r="O108" s="27"/>
      <c r="P108" s="27"/>
      <c r="Q108" s="27"/>
      <c r="R108" s="27"/>
      <c r="S108" s="21"/>
      <c r="T108" s="28"/>
      <c r="U108" s="28"/>
      <c r="V108" s="28"/>
      <c r="W108" s="28"/>
      <c r="X108" s="28"/>
      <c r="Y108" s="19"/>
      <c r="Z108" s="18"/>
      <c r="AE108" s="19"/>
      <c r="AH108" s="24"/>
      <c r="AI108" s="30"/>
      <c r="AJ108" s="30"/>
      <c r="AK108" s="30"/>
      <c r="AL108" s="24"/>
      <c r="AM108" s="24"/>
    </row>
    <row r="109" ht="15.75" customHeight="1">
      <c r="B109" s="18"/>
      <c r="C109" s="18"/>
      <c r="D109" s="18"/>
      <c r="E109" s="18"/>
      <c r="F109" s="18"/>
      <c r="G109" s="19"/>
      <c r="H109" s="27"/>
      <c r="I109" s="27"/>
      <c r="J109" s="27"/>
      <c r="K109" s="27"/>
      <c r="L109" s="27"/>
      <c r="M109" s="21"/>
      <c r="N109" s="27"/>
      <c r="O109" s="27"/>
      <c r="P109" s="27"/>
      <c r="Q109" s="27"/>
      <c r="R109" s="27"/>
      <c r="S109" s="21"/>
      <c r="T109" s="28"/>
      <c r="U109" s="28"/>
      <c r="V109" s="28"/>
      <c r="W109" s="28"/>
      <c r="X109" s="28"/>
      <c r="Y109" s="19"/>
      <c r="Z109" s="18"/>
      <c r="AE109" s="19"/>
      <c r="AH109" s="24"/>
      <c r="AI109" s="30"/>
      <c r="AJ109" s="30"/>
      <c r="AK109" s="30"/>
      <c r="AL109" s="24"/>
      <c r="AM109" s="24"/>
    </row>
    <row r="110" ht="15.75" customHeight="1">
      <c r="B110" s="18"/>
      <c r="C110" s="18"/>
      <c r="D110" s="18"/>
      <c r="E110" s="18"/>
      <c r="F110" s="18"/>
      <c r="G110" s="19"/>
      <c r="H110" s="27"/>
      <c r="I110" s="27"/>
      <c r="J110" s="27"/>
      <c r="K110" s="27"/>
      <c r="L110" s="27"/>
      <c r="M110" s="21"/>
      <c r="N110" s="27"/>
      <c r="O110" s="27"/>
      <c r="P110" s="27"/>
      <c r="Q110" s="27"/>
      <c r="R110" s="27"/>
      <c r="S110" s="21"/>
      <c r="T110" s="28"/>
      <c r="U110" s="28"/>
      <c r="V110" s="28"/>
      <c r="W110" s="28"/>
      <c r="X110" s="28"/>
      <c r="Y110" s="19"/>
      <c r="Z110" s="18"/>
      <c r="AE110" s="19"/>
      <c r="AH110" s="24"/>
      <c r="AI110" s="30"/>
      <c r="AJ110" s="30"/>
      <c r="AK110" s="30"/>
      <c r="AL110" s="24"/>
      <c r="AM110" s="24"/>
    </row>
    <row r="111" ht="15.75" customHeight="1">
      <c r="B111" s="18"/>
      <c r="C111" s="18"/>
      <c r="D111" s="18"/>
      <c r="E111" s="18"/>
      <c r="F111" s="18"/>
      <c r="G111" s="19"/>
      <c r="H111" s="27"/>
      <c r="I111" s="27"/>
      <c r="J111" s="27"/>
      <c r="K111" s="27"/>
      <c r="L111" s="27"/>
      <c r="M111" s="21"/>
      <c r="N111" s="27"/>
      <c r="O111" s="27"/>
      <c r="P111" s="27"/>
      <c r="Q111" s="27"/>
      <c r="R111" s="27"/>
      <c r="S111" s="21"/>
      <c r="T111" s="28"/>
      <c r="U111" s="28"/>
      <c r="V111" s="28"/>
      <c r="W111" s="28"/>
      <c r="X111" s="28"/>
      <c r="Y111" s="19"/>
      <c r="Z111" s="18"/>
      <c r="AE111" s="19"/>
      <c r="AH111" s="24"/>
      <c r="AI111" s="30"/>
      <c r="AJ111" s="30"/>
      <c r="AK111" s="30"/>
      <c r="AL111" s="24"/>
      <c r="AM111" s="24"/>
    </row>
    <row r="112" ht="15.75" customHeight="1">
      <c r="B112" s="18"/>
      <c r="C112" s="18"/>
      <c r="D112" s="18"/>
      <c r="E112" s="18"/>
      <c r="F112" s="18"/>
      <c r="G112" s="19"/>
      <c r="H112" s="27"/>
      <c r="I112" s="27"/>
      <c r="J112" s="27"/>
      <c r="K112" s="27"/>
      <c r="L112" s="27"/>
      <c r="M112" s="21"/>
      <c r="N112" s="27"/>
      <c r="O112" s="27"/>
      <c r="P112" s="27"/>
      <c r="Q112" s="27"/>
      <c r="R112" s="27"/>
      <c r="S112" s="21"/>
      <c r="T112" s="28"/>
      <c r="U112" s="28"/>
      <c r="V112" s="28"/>
      <c r="W112" s="28"/>
      <c r="X112" s="28"/>
      <c r="Y112" s="19"/>
      <c r="Z112" s="18"/>
      <c r="AE112" s="19"/>
      <c r="AH112" s="24"/>
      <c r="AI112" s="30"/>
      <c r="AJ112" s="30"/>
      <c r="AK112" s="30"/>
      <c r="AL112" s="24"/>
      <c r="AM112" s="24"/>
    </row>
    <row r="113" ht="15.75" customHeight="1">
      <c r="B113" s="18"/>
      <c r="C113" s="18"/>
      <c r="D113" s="18"/>
      <c r="E113" s="18"/>
      <c r="F113" s="18"/>
      <c r="G113" s="19"/>
      <c r="H113" s="27"/>
      <c r="I113" s="27"/>
      <c r="J113" s="27"/>
      <c r="K113" s="27"/>
      <c r="L113" s="27"/>
      <c r="M113" s="21"/>
      <c r="N113" s="27"/>
      <c r="O113" s="27"/>
      <c r="P113" s="27"/>
      <c r="Q113" s="27"/>
      <c r="R113" s="27"/>
      <c r="S113" s="21"/>
      <c r="T113" s="28"/>
      <c r="U113" s="28"/>
      <c r="V113" s="28"/>
      <c r="W113" s="28"/>
      <c r="X113" s="28"/>
      <c r="Y113" s="19"/>
      <c r="Z113" s="18"/>
      <c r="AE113" s="19"/>
      <c r="AH113" s="24"/>
      <c r="AI113" s="30"/>
      <c r="AJ113" s="30"/>
      <c r="AK113" s="30"/>
      <c r="AL113" s="24"/>
      <c r="AM113" s="24"/>
    </row>
    <row r="114" ht="15.75" customHeight="1">
      <c r="B114" s="18"/>
      <c r="C114" s="18"/>
      <c r="D114" s="18"/>
      <c r="E114" s="18"/>
      <c r="F114" s="18"/>
      <c r="G114" s="19"/>
      <c r="H114" s="27"/>
      <c r="I114" s="27"/>
      <c r="J114" s="27"/>
      <c r="K114" s="27"/>
      <c r="L114" s="27"/>
      <c r="M114" s="21"/>
      <c r="N114" s="27"/>
      <c r="O114" s="27"/>
      <c r="P114" s="27"/>
      <c r="Q114" s="27"/>
      <c r="R114" s="27"/>
      <c r="S114" s="21"/>
      <c r="T114" s="28"/>
      <c r="U114" s="28"/>
      <c r="V114" s="28"/>
      <c r="W114" s="28"/>
      <c r="X114" s="28"/>
      <c r="Y114" s="19"/>
      <c r="Z114" s="18"/>
      <c r="AE114" s="19"/>
      <c r="AH114" s="24"/>
      <c r="AI114" s="30"/>
      <c r="AJ114" s="30"/>
      <c r="AK114" s="30"/>
      <c r="AL114" s="24"/>
      <c r="AM114" s="24"/>
    </row>
    <row r="115" ht="15.75" customHeight="1">
      <c r="B115" s="18"/>
      <c r="C115" s="18"/>
      <c r="D115" s="18"/>
      <c r="E115" s="18"/>
      <c r="F115" s="18"/>
      <c r="G115" s="19"/>
      <c r="H115" s="27"/>
      <c r="I115" s="27"/>
      <c r="J115" s="27"/>
      <c r="K115" s="27"/>
      <c r="L115" s="27"/>
      <c r="M115" s="21"/>
      <c r="N115" s="27"/>
      <c r="O115" s="27"/>
      <c r="P115" s="27"/>
      <c r="Q115" s="27"/>
      <c r="R115" s="27"/>
      <c r="S115" s="21"/>
      <c r="T115" s="28"/>
      <c r="U115" s="28"/>
      <c r="V115" s="28"/>
      <c r="W115" s="28"/>
      <c r="X115" s="28"/>
      <c r="Y115" s="19"/>
      <c r="Z115" s="18"/>
      <c r="AE115" s="19"/>
      <c r="AH115" s="24"/>
      <c r="AI115" s="30"/>
      <c r="AJ115" s="30"/>
      <c r="AK115" s="30"/>
      <c r="AL115" s="24"/>
      <c r="AM115" s="24"/>
    </row>
    <row r="116" ht="15.75" customHeight="1">
      <c r="B116" s="18"/>
      <c r="C116" s="18"/>
      <c r="D116" s="18"/>
      <c r="E116" s="18"/>
      <c r="F116" s="18"/>
      <c r="G116" s="19"/>
      <c r="H116" s="27"/>
      <c r="I116" s="27"/>
      <c r="J116" s="27"/>
      <c r="K116" s="27"/>
      <c r="L116" s="27"/>
      <c r="M116" s="21"/>
      <c r="N116" s="27"/>
      <c r="O116" s="27"/>
      <c r="P116" s="27"/>
      <c r="Q116" s="27"/>
      <c r="R116" s="27"/>
      <c r="S116" s="21"/>
      <c r="T116" s="28"/>
      <c r="U116" s="28"/>
      <c r="V116" s="28"/>
      <c r="W116" s="28"/>
      <c r="X116" s="28"/>
      <c r="Y116" s="19"/>
      <c r="Z116" s="18"/>
      <c r="AE116" s="19"/>
      <c r="AH116" s="24"/>
      <c r="AI116" s="30"/>
      <c r="AJ116" s="30"/>
      <c r="AK116" s="30"/>
      <c r="AL116" s="24"/>
      <c r="AM116" s="24"/>
    </row>
    <row r="117" ht="15.75" customHeight="1">
      <c r="B117" s="18"/>
      <c r="C117" s="18"/>
      <c r="D117" s="18"/>
      <c r="E117" s="18"/>
      <c r="F117" s="18"/>
      <c r="G117" s="19"/>
      <c r="H117" s="27"/>
      <c r="I117" s="27"/>
      <c r="J117" s="27"/>
      <c r="K117" s="27"/>
      <c r="L117" s="27"/>
      <c r="M117" s="21"/>
      <c r="N117" s="27"/>
      <c r="O117" s="27"/>
      <c r="P117" s="27"/>
      <c r="Q117" s="27"/>
      <c r="R117" s="27"/>
      <c r="S117" s="21"/>
      <c r="T117" s="28"/>
      <c r="U117" s="28"/>
      <c r="V117" s="28"/>
      <c r="W117" s="28"/>
      <c r="X117" s="28"/>
      <c r="Y117" s="19"/>
      <c r="Z117" s="18"/>
      <c r="AE117" s="19"/>
      <c r="AH117" s="24"/>
      <c r="AI117" s="30"/>
      <c r="AJ117" s="30"/>
      <c r="AK117" s="30"/>
      <c r="AL117" s="24"/>
      <c r="AM117" s="24"/>
    </row>
    <row r="118" ht="15.75" customHeight="1">
      <c r="B118" s="18"/>
      <c r="C118" s="18"/>
      <c r="D118" s="18"/>
      <c r="E118" s="18"/>
      <c r="F118" s="18"/>
      <c r="G118" s="19"/>
      <c r="H118" s="27"/>
      <c r="I118" s="27"/>
      <c r="J118" s="27"/>
      <c r="K118" s="27"/>
      <c r="L118" s="27"/>
      <c r="M118" s="21"/>
      <c r="N118" s="27"/>
      <c r="O118" s="27"/>
      <c r="P118" s="27"/>
      <c r="Q118" s="27"/>
      <c r="R118" s="27"/>
      <c r="S118" s="21"/>
      <c r="T118" s="28"/>
      <c r="U118" s="28"/>
      <c r="V118" s="28"/>
      <c r="W118" s="28"/>
      <c r="X118" s="28"/>
      <c r="Y118" s="19"/>
      <c r="Z118" s="18"/>
      <c r="AE118" s="19"/>
      <c r="AH118" s="24"/>
      <c r="AI118" s="30"/>
      <c r="AJ118" s="30"/>
      <c r="AK118" s="30"/>
      <c r="AL118" s="24"/>
      <c r="AM118" s="24"/>
    </row>
    <row r="119" ht="15.75" customHeight="1">
      <c r="B119" s="18"/>
      <c r="C119" s="18"/>
      <c r="D119" s="18"/>
      <c r="E119" s="18"/>
      <c r="F119" s="18"/>
      <c r="G119" s="19"/>
      <c r="H119" s="27"/>
      <c r="I119" s="27"/>
      <c r="J119" s="27"/>
      <c r="K119" s="27"/>
      <c r="L119" s="27"/>
      <c r="M119" s="21"/>
      <c r="N119" s="27"/>
      <c r="O119" s="27"/>
      <c r="P119" s="27"/>
      <c r="Q119" s="27"/>
      <c r="R119" s="27"/>
      <c r="S119" s="21"/>
      <c r="T119" s="28"/>
      <c r="U119" s="28"/>
      <c r="V119" s="28"/>
      <c r="W119" s="28"/>
      <c r="X119" s="28"/>
      <c r="Y119" s="19"/>
      <c r="Z119" s="18"/>
      <c r="AE119" s="19"/>
      <c r="AH119" s="24"/>
      <c r="AI119" s="30"/>
      <c r="AJ119" s="30"/>
      <c r="AK119" s="30"/>
      <c r="AL119" s="24"/>
      <c r="AM119" s="24"/>
    </row>
    <row r="120" ht="15.75" customHeight="1">
      <c r="B120" s="18"/>
      <c r="C120" s="18"/>
      <c r="D120" s="18"/>
      <c r="E120" s="18"/>
      <c r="F120" s="18"/>
      <c r="G120" s="19"/>
      <c r="H120" s="27"/>
      <c r="I120" s="27"/>
      <c r="J120" s="27"/>
      <c r="K120" s="27"/>
      <c r="L120" s="27"/>
      <c r="M120" s="21"/>
      <c r="N120" s="27"/>
      <c r="O120" s="27"/>
      <c r="P120" s="27"/>
      <c r="Q120" s="27"/>
      <c r="R120" s="27"/>
      <c r="S120" s="21"/>
      <c r="T120" s="28"/>
      <c r="U120" s="28"/>
      <c r="V120" s="28"/>
      <c r="W120" s="28"/>
      <c r="X120" s="28"/>
      <c r="Y120" s="19"/>
      <c r="Z120" s="18"/>
      <c r="AE120" s="19"/>
      <c r="AH120" s="24"/>
      <c r="AI120" s="30"/>
      <c r="AJ120" s="30"/>
      <c r="AK120" s="30"/>
      <c r="AL120" s="24"/>
      <c r="AM120" s="24"/>
    </row>
    <row r="121" ht="15.75" customHeight="1">
      <c r="B121" s="18"/>
      <c r="C121" s="18"/>
      <c r="D121" s="18"/>
      <c r="E121" s="18"/>
      <c r="F121" s="18"/>
      <c r="G121" s="19"/>
      <c r="H121" s="27"/>
      <c r="I121" s="27"/>
      <c r="J121" s="27"/>
      <c r="K121" s="27"/>
      <c r="L121" s="27"/>
      <c r="M121" s="21"/>
      <c r="N121" s="27"/>
      <c r="O121" s="27"/>
      <c r="P121" s="27"/>
      <c r="Q121" s="27"/>
      <c r="R121" s="27"/>
      <c r="S121" s="21"/>
      <c r="T121" s="28"/>
      <c r="U121" s="28"/>
      <c r="V121" s="28"/>
      <c r="W121" s="28"/>
      <c r="X121" s="28"/>
      <c r="Y121" s="19"/>
      <c r="Z121" s="18"/>
      <c r="AE121" s="19"/>
      <c r="AH121" s="24"/>
      <c r="AI121" s="30"/>
      <c r="AJ121" s="30"/>
      <c r="AK121" s="30"/>
      <c r="AL121" s="24"/>
      <c r="AM121" s="24"/>
    </row>
    <row r="122" ht="15.75" customHeight="1">
      <c r="B122" s="18"/>
      <c r="C122" s="18"/>
      <c r="D122" s="18"/>
      <c r="E122" s="18"/>
      <c r="F122" s="18"/>
      <c r="G122" s="19"/>
      <c r="H122" s="27"/>
      <c r="I122" s="27"/>
      <c r="J122" s="27"/>
      <c r="K122" s="27"/>
      <c r="L122" s="27"/>
      <c r="M122" s="21"/>
      <c r="N122" s="27"/>
      <c r="O122" s="27"/>
      <c r="P122" s="27"/>
      <c r="Q122" s="27"/>
      <c r="R122" s="27"/>
      <c r="S122" s="21"/>
      <c r="T122" s="28"/>
      <c r="U122" s="28"/>
      <c r="V122" s="28"/>
      <c r="W122" s="28"/>
      <c r="X122" s="28"/>
      <c r="Y122" s="19"/>
      <c r="Z122" s="18"/>
      <c r="AE122" s="19"/>
      <c r="AH122" s="24"/>
      <c r="AI122" s="30"/>
      <c r="AJ122" s="30"/>
      <c r="AK122" s="30"/>
      <c r="AL122" s="24"/>
      <c r="AM122" s="24"/>
    </row>
    <row r="123" ht="15.75" customHeight="1">
      <c r="B123" s="18"/>
      <c r="C123" s="18"/>
      <c r="D123" s="18"/>
      <c r="E123" s="18"/>
      <c r="F123" s="18"/>
      <c r="G123" s="19"/>
      <c r="H123" s="27"/>
      <c r="I123" s="27"/>
      <c r="J123" s="27"/>
      <c r="K123" s="27"/>
      <c r="L123" s="27"/>
      <c r="M123" s="21"/>
      <c r="N123" s="27"/>
      <c r="O123" s="27"/>
      <c r="P123" s="27"/>
      <c r="Q123" s="27"/>
      <c r="R123" s="27"/>
      <c r="S123" s="21"/>
      <c r="T123" s="28"/>
      <c r="U123" s="28"/>
      <c r="V123" s="28"/>
      <c r="W123" s="28"/>
      <c r="X123" s="28"/>
      <c r="Y123" s="19"/>
      <c r="Z123" s="18"/>
      <c r="AE123" s="19"/>
      <c r="AH123" s="24"/>
      <c r="AI123" s="30"/>
      <c r="AJ123" s="30"/>
      <c r="AK123" s="30"/>
      <c r="AL123" s="24"/>
      <c r="AM123" s="24"/>
    </row>
    <row r="124" ht="15.75" customHeight="1">
      <c r="B124" s="18"/>
      <c r="C124" s="18"/>
      <c r="D124" s="18"/>
      <c r="E124" s="18"/>
      <c r="F124" s="18"/>
      <c r="G124" s="19"/>
      <c r="H124" s="27"/>
      <c r="I124" s="27"/>
      <c r="J124" s="27"/>
      <c r="K124" s="27"/>
      <c r="L124" s="27"/>
      <c r="M124" s="21"/>
      <c r="N124" s="27"/>
      <c r="O124" s="27"/>
      <c r="P124" s="27"/>
      <c r="Q124" s="27"/>
      <c r="R124" s="27"/>
      <c r="S124" s="21"/>
      <c r="T124" s="28"/>
      <c r="U124" s="28"/>
      <c r="V124" s="28"/>
      <c r="W124" s="28"/>
      <c r="X124" s="28"/>
      <c r="Y124" s="19"/>
      <c r="Z124" s="18"/>
      <c r="AE124" s="19"/>
      <c r="AH124" s="24"/>
      <c r="AI124" s="30"/>
      <c r="AJ124" s="30"/>
      <c r="AK124" s="30"/>
      <c r="AL124" s="24"/>
      <c r="AM124" s="24"/>
    </row>
    <row r="125" ht="15.75" customHeight="1">
      <c r="B125" s="18"/>
      <c r="C125" s="18"/>
      <c r="D125" s="18"/>
      <c r="E125" s="18"/>
      <c r="F125" s="18"/>
      <c r="G125" s="19"/>
      <c r="H125" s="27"/>
      <c r="I125" s="27"/>
      <c r="J125" s="27"/>
      <c r="K125" s="27"/>
      <c r="L125" s="27"/>
      <c r="M125" s="21"/>
      <c r="N125" s="27"/>
      <c r="O125" s="27"/>
      <c r="P125" s="27"/>
      <c r="Q125" s="27"/>
      <c r="R125" s="27"/>
      <c r="S125" s="21"/>
      <c r="T125" s="28"/>
      <c r="U125" s="28"/>
      <c r="V125" s="28"/>
      <c r="W125" s="28"/>
      <c r="X125" s="28"/>
      <c r="Y125" s="19"/>
      <c r="Z125" s="18"/>
      <c r="AE125" s="19"/>
      <c r="AH125" s="24"/>
      <c r="AI125" s="30"/>
      <c r="AJ125" s="30"/>
      <c r="AK125" s="30"/>
      <c r="AL125" s="24"/>
      <c r="AM125" s="24"/>
    </row>
    <row r="126" ht="15.75" customHeight="1">
      <c r="B126" s="18"/>
      <c r="C126" s="18"/>
      <c r="D126" s="18"/>
      <c r="E126" s="18"/>
      <c r="F126" s="18"/>
      <c r="G126" s="19"/>
      <c r="H126" s="27"/>
      <c r="I126" s="27"/>
      <c r="J126" s="27"/>
      <c r="K126" s="27"/>
      <c r="L126" s="27"/>
      <c r="M126" s="21"/>
      <c r="N126" s="27"/>
      <c r="O126" s="27"/>
      <c r="P126" s="27"/>
      <c r="Q126" s="27"/>
      <c r="R126" s="27"/>
      <c r="S126" s="21"/>
      <c r="T126" s="28"/>
      <c r="U126" s="28"/>
      <c r="V126" s="28"/>
      <c r="W126" s="28"/>
      <c r="X126" s="28"/>
      <c r="Y126" s="19"/>
      <c r="Z126" s="18"/>
      <c r="AE126" s="19"/>
      <c r="AH126" s="24"/>
      <c r="AI126" s="30"/>
      <c r="AJ126" s="30"/>
      <c r="AK126" s="30"/>
      <c r="AL126" s="24"/>
      <c r="AM126" s="24"/>
    </row>
    <row r="127" ht="15.75" customHeight="1">
      <c r="B127" s="18"/>
      <c r="C127" s="18"/>
      <c r="D127" s="18"/>
      <c r="E127" s="18"/>
      <c r="F127" s="18"/>
      <c r="G127" s="19"/>
      <c r="H127" s="27"/>
      <c r="I127" s="27"/>
      <c r="J127" s="27"/>
      <c r="K127" s="27"/>
      <c r="L127" s="27"/>
      <c r="M127" s="21"/>
      <c r="N127" s="27"/>
      <c r="O127" s="27"/>
      <c r="P127" s="27"/>
      <c r="Q127" s="27"/>
      <c r="R127" s="27"/>
      <c r="S127" s="21"/>
      <c r="T127" s="28"/>
      <c r="U127" s="28"/>
      <c r="V127" s="28"/>
      <c r="W127" s="28"/>
      <c r="X127" s="28"/>
      <c r="Y127" s="19"/>
      <c r="Z127" s="18"/>
      <c r="AE127" s="19"/>
      <c r="AH127" s="24"/>
      <c r="AI127" s="30"/>
      <c r="AJ127" s="30"/>
      <c r="AK127" s="30"/>
      <c r="AL127" s="24"/>
      <c r="AM127" s="24"/>
    </row>
    <row r="128" ht="15.75" customHeight="1">
      <c r="B128" s="18"/>
      <c r="C128" s="18"/>
      <c r="D128" s="18"/>
      <c r="E128" s="18"/>
      <c r="F128" s="18"/>
      <c r="G128" s="19"/>
      <c r="H128" s="27"/>
      <c r="I128" s="27"/>
      <c r="J128" s="27"/>
      <c r="K128" s="27"/>
      <c r="L128" s="27"/>
      <c r="M128" s="21"/>
      <c r="N128" s="27"/>
      <c r="O128" s="27"/>
      <c r="P128" s="27"/>
      <c r="Q128" s="27"/>
      <c r="R128" s="27"/>
      <c r="S128" s="21"/>
      <c r="T128" s="28"/>
      <c r="U128" s="28"/>
      <c r="V128" s="28"/>
      <c r="W128" s="28"/>
      <c r="X128" s="28"/>
      <c r="Y128" s="19"/>
      <c r="Z128" s="18"/>
      <c r="AE128" s="19"/>
      <c r="AH128" s="24"/>
      <c r="AI128" s="30"/>
      <c r="AJ128" s="30"/>
      <c r="AK128" s="30"/>
      <c r="AL128" s="24"/>
      <c r="AM128" s="24"/>
    </row>
    <row r="129" ht="15.75" customHeight="1">
      <c r="B129" s="18"/>
      <c r="C129" s="18"/>
      <c r="D129" s="18"/>
      <c r="E129" s="18"/>
      <c r="F129" s="18"/>
      <c r="G129" s="19"/>
      <c r="H129" s="27"/>
      <c r="I129" s="27"/>
      <c r="J129" s="27"/>
      <c r="K129" s="27"/>
      <c r="L129" s="27"/>
      <c r="M129" s="21"/>
      <c r="N129" s="27"/>
      <c r="O129" s="27"/>
      <c r="P129" s="27"/>
      <c r="Q129" s="27"/>
      <c r="R129" s="27"/>
      <c r="S129" s="21"/>
      <c r="T129" s="28"/>
      <c r="U129" s="28"/>
      <c r="V129" s="28"/>
      <c r="W129" s="28"/>
      <c r="X129" s="28"/>
      <c r="Y129" s="19"/>
      <c r="Z129" s="18"/>
      <c r="AE129" s="19"/>
      <c r="AH129" s="24"/>
      <c r="AI129" s="30"/>
      <c r="AJ129" s="30"/>
      <c r="AK129" s="30"/>
      <c r="AL129" s="24"/>
      <c r="AM129" s="24"/>
    </row>
    <row r="130" ht="15.75" customHeight="1">
      <c r="B130" s="18"/>
      <c r="C130" s="18"/>
      <c r="D130" s="18"/>
      <c r="E130" s="18"/>
      <c r="F130" s="18"/>
      <c r="G130" s="19"/>
      <c r="H130" s="27"/>
      <c r="I130" s="27"/>
      <c r="J130" s="27"/>
      <c r="K130" s="27"/>
      <c r="L130" s="27"/>
      <c r="M130" s="21"/>
      <c r="N130" s="27"/>
      <c r="O130" s="27"/>
      <c r="P130" s="27"/>
      <c r="Q130" s="27"/>
      <c r="R130" s="27"/>
      <c r="S130" s="21"/>
      <c r="T130" s="28"/>
      <c r="U130" s="28"/>
      <c r="V130" s="28"/>
      <c r="W130" s="28"/>
      <c r="X130" s="28"/>
      <c r="Y130" s="19"/>
      <c r="Z130" s="18"/>
      <c r="AE130" s="19"/>
      <c r="AH130" s="24"/>
      <c r="AI130" s="30"/>
      <c r="AJ130" s="30"/>
      <c r="AK130" s="30"/>
      <c r="AL130" s="24"/>
      <c r="AM130" s="24"/>
    </row>
    <row r="131" ht="15.75" customHeight="1">
      <c r="B131" s="18"/>
      <c r="C131" s="18"/>
      <c r="D131" s="18"/>
      <c r="E131" s="18"/>
      <c r="F131" s="18"/>
      <c r="G131" s="19"/>
      <c r="H131" s="27"/>
      <c r="I131" s="27"/>
      <c r="J131" s="27"/>
      <c r="K131" s="27"/>
      <c r="L131" s="27"/>
      <c r="M131" s="21"/>
      <c r="N131" s="27"/>
      <c r="O131" s="27"/>
      <c r="P131" s="27"/>
      <c r="Q131" s="27"/>
      <c r="R131" s="27"/>
      <c r="S131" s="21"/>
      <c r="T131" s="28"/>
      <c r="U131" s="28"/>
      <c r="V131" s="28"/>
      <c r="W131" s="28"/>
      <c r="X131" s="28"/>
      <c r="Y131" s="19"/>
      <c r="Z131" s="18"/>
      <c r="AE131" s="19"/>
      <c r="AH131" s="24"/>
      <c r="AI131" s="30"/>
      <c r="AJ131" s="30"/>
      <c r="AK131" s="30"/>
      <c r="AL131" s="24"/>
      <c r="AM131" s="24"/>
    </row>
    <row r="132" ht="15.75" customHeight="1">
      <c r="B132" s="18"/>
      <c r="C132" s="18"/>
      <c r="D132" s="18"/>
      <c r="E132" s="18"/>
      <c r="F132" s="18"/>
      <c r="G132" s="19"/>
      <c r="H132" s="27"/>
      <c r="I132" s="27"/>
      <c r="J132" s="27"/>
      <c r="K132" s="27"/>
      <c r="L132" s="27"/>
      <c r="M132" s="21"/>
      <c r="N132" s="27"/>
      <c r="O132" s="27"/>
      <c r="P132" s="27"/>
      <c r="Q132" s="27"/>
      <c r="R132" s="27"/>
      <c r="S132" s="21"/>
      <c r="T132" s="28"/>
      <c r="U132" s="28"/>
      <c r="V132" s="28"/>
      <c r="W132" s="28"/>
      <c r="X132" s="28"/>
      <c r="Y132" s="19"/>
      <c r="Z132" s="18"/>
      <c r="AE132" s="19"/>
      <c r="AH132" s="24"/>
      <c r="AI132" s="30"/>
      <c r="AJ132" s="30"/>
      <c r="AK132" s="30"/>
      <c r="AL132" s="24"/>
      <c r="AM132" s="24"/>
    </row>
    <row r="133" ht="15.75" customHeight="1">
      <c r="B133" s="18"/>
      <c r="C133" s="18"/>
      <c r="D133" s="18"/>
      <c r="E133" s="18"/>
      <c r="F133" s="18"/>
      <c r="G133" s="19"/>
      <c r="H133" s="27"/>
      <c r="I133" s="27"/>
      <c r="J133" s="27"/>
      <c r="K133" s="27"/>
      <c r="L133" s="27"/>
      <c r="M133" s="21"/>
      <c r="N133" s="27"/>
      <c r="O133" s="27"/>
      <c r="P133" s="27"/>
      <c r="Q133" s="27"/>
      <c r="R133" s="27"/>
      <c r="S133" s="21"/>
      <c r="T133" s="28"/>
      <c r="U133" s="28"/>
      <c r="V133" s="28"/>
      <c r="W133" s="28"/>
      <c r="X133" s="28"/>
      <c r="Y133" s="19"/>
      <c r="Z133" s="18"/>
      <c r="AE133" s="19"/>
      <c r="AH133" s="24"/>
      <c r="AI133" s="30"/>
      <c r="AJ133" s="30"/>
      <c r="AK133" s="30"/>
      <c r="AL133" s="24"/>
      <c r="AM133" s="24"/>
    </row>
    <row r="134" ht="15.75" customHeight="1">
      <c r="B134" s="18"/>
      <c r="C134" s="18"/>
      <c r="D134" s="18"/>
      <c r="E134" s="18"/>
      <c r="F134" s="18"/>
      <c r="G134" s="19"/>
      <c r="H134" s="27"/>
      <c r="I134" s="27"/>
      <c r="J134" s="27"/>
      <c r="K134" s="27"/>
      <c r="L134" s="27"/>
      <c r="M134" s="21"/>
      <c r="N134" s="27"/>
      <c r="O134" s="27"/>
      <c r="P134" s="27"/>
      <c r="Q134" s="27"/>
      <c r="R134" s="27"/>
      <c r="S134" s="21"/>
      <c r="T134" s="28"/>
      <c r="U134" s="28"/>
      <c r="V134" s="28"/>
      <c r="W134" s="28"/>
      <c r="X134" s="28"/>
      <c r="Y134" s="19"/>
      <c r="Z134" s="18"/>
      <c r="AE134" s="19"/>
      <c r="AH134" s="24"/>
      <c r="AI134" s="30"/>
      <c r="AJ134" s="30"/>
      <c r="AK134" s="30"/>
      <c r="AL134" s="24"/>
      <c r="AM134" s="24"/>
    </row>
    <row r="135" ht="15.75" customHeight="1">
      <c r="B135" s="18"/>
      <c r="C135" s="18"/>
      <c r="D135" s="18"/>
      <c r="E135" s="18"/>
      <c r="F135" s="18"/>
      <c r="G135" s="19"/>
      <c r="H135" s="27"/>
      <c r="I135" s="27"/>
      <c r="J135" s="27"/>
      <c r="K135" s="27"/>
      <c r="L135" s="27"/>
      <c r="M135" s="21"/>
      <c r="N135" s="27"/>
      <c r="O135" s="27"/>
      <c r="P135" s="27"/>
      <c r="Q135" s="27"/>
      <c r="R135" s="27"/>
      <c r="S135" s="21"/>
      <c r="T135" s="28"/>
      <c r="U135" s="28"/>
      <c r="V135" s="28"/>
      <c r="W135" s="28"/>
      <c r="X135" s="28"/>
      <c r="Y135" s="19"/>
      <c r="Z135" s="18"/>
      <c r="AE135" s="19"/>
      <c r="AH135" s="24"/>
      <c r="AI135" s="30"/>
      <c r="AJ135" s="30"/>
      <c r="AK135" s="30"/>
      <c r="AL135" s="24"/>
      <c r="AM135" s="24"/>
    </row>
    <row r="136" ht="15.75" customHeight="1">
      <c r="B136" s="18"/>
      <c r="C136" s="18"/>
      <c r="D136" s="18"/>
      <c r="E136" s="18"/>
      <c r="F136" s="18"/>
      <c r="G136" s="19"/>
      <c r="H136" s="27"/>
      <c r="I136" s="27"/>
      <c r="J136" s="27"/>
      <c r="K136" s="27"/>
      <c r="L136" s="27"/>
      <c r="M136" s="21"/>
      <c r="N136" s="27"/>
      <c r="O136" s="27"/>
      <c r="P136" s="27"/>
      <c r="Q136" s="27"/>
      <c r="R136" s="27"/>
      <c r="S136" s="21"/>
      <c r="T136" s="28"/>
      <c r="U136" s="28"/>
      <c r="V136" s="28"/>
      <c r="W136" s="28"/>
      <c r="X136" s="28"/>
      <c r="Y136" s="19"/>
      <c r="Z136" s="18"/>
      <c r="AE136" s="19"/>
      <c r="AH136" s="24"/>
      <c r="AI136" s="30"/>
      <c r="AJ136" s="30"/>
      <c r="AK136" s="30"/>
      <c r="AL136" s="24"/>
      <c r="AM136" s="24"/>
    </row>
    <row r="137" ht="15.75" customHeight="1">
      <c r="B137" s="18"/>
      <c r="C137" s="18"/>
      <c r="D137" s="18"/>
      <c r="E137" s="18"/>
      <c r="F137" s="18"/>
      <c r="G137" s="19"/>
      <c r="H137" s="27"/>
      <c r="I137" s="27"/>
      <c r="J137" s="27"/>
      <c r="K137" s="27"/>
      <c r="L137" s="27"/>
      <c r="M137" s="21"/>
      <c r="N137" s="27"/>
      <c r="O137" s="27"/>
      <c r="P137" s="27"/>
      <c r="Q137" s="27"/>
      <c r="R137" s="27"/>
      <c r="S137" s="21"/>
      <c r="T137" s="28"/>
      <c r="U137" s="28"/>
      <c r="V137" s="28"/>
      <c r="W137" s="28"/>
      <c r="X137" s="28"/>
      <c r="Y137" s="19"/>
      <c r="Z137" s="18"/>
      <c r="AE137" s="19"/>
      <c r="AH137" s="24"/>
      <c r="AI137" s="30"/>
      <c r="AJ137" s="30"/>
      <c r="AK137" s="30"/>
      <c r="AL137" s="24"/>
      <c r="AM137" s="24"/>
    </row>
    <row r="138" ht="15.75" customHeight="1">
      <c r="B138" s="18"/>
      <c r="C138" s="18"/>
      <c r="D138" s="18"/>
      <c r="E138" s="18"/>
      <c r="F138" s="18"/>
      <c r="G138" s="19"/>
      <c r="H138" s="27"/>
      <c r="I138" s="27"/>
      <c r="J138" s="27"/>
      <c r="K138" s="27"/>
      <c r="L138" s="27"/>
      <c r="M138" s="21"/>
      <c r="N138" s="27"/>
      <c r="O138" s="27"/>
      <c r="P138" s="27"/>
      <c r="Q138" s="27"/>
      <c r="R138" s="27"/>
      <c r="S138" s="21"/>
      <c r="T138" s="28"/>
      <c r="U138" s="28"/>
      <c r="V138" s="28"/>
      <c r="W138" s="28"/>
      <c r="X138" s="28"/>
      <c r="Y138" s="19"/>
      <c r="Z138" s="18"/>
      <c r="AE138" s="19"/>
      <c r="AH138" s="24"/>
      <c r="AI138" s="30"/>
      <c r="AJ138" s="30"/>
      <c r="AK138" s="30"/>
      <c r="AL138" s="24"/>
      <c r="AM138" s="24"/>
    </row>
    <row r="139" ht="15.75" customHeight="1">
      <c r="B139" s="18"/>
      <c r="C139" s="18"/>
      <c r="D139" s="18"/>
      <c r="E139" s="18"/>
      <c r="F139" s="18"/>
      <c r="G139" s="19"/>
      <c r="H139" s="27"/>
      <c r="I139" s="27"/>
      <c r="J139" s="27"/>
      <c r="K139" s="27"/>
      <c r="L139" s="27"/>
      <c r="M139" s="21"/>
      <c r="N139" s="27"/>
      <c r="O139" s="27"/>
      <c r="P139" s="27"/>
      <c r="Q139" s="27"/>
      <c r="R139" s="27"/>
      <c r="S139" s="21"/>
      <c r="T139" s="28"/>
      <c r="U139" s="28"/>
      <c r="V139" s="28"/>
      <c r="W139" s="28"/>
      <c r="X139" s="28"/>
      <c r="Y139" s="19"/>
      <c r="Z139" s="18"/>
      <c r="AE139" s="19"/>
      <c r="AH139" s="24"/>
      <c r="AI139" s="30"/>
      <c r="AJ139" s="30"/>
      <c r="AK139" s="30"/>
      <c r="AL139" s="24"/>
      <c r="AM139" s="24"/>
    </row>
    <row r="140" ht="15.75" customHeight="1">
      <c r="B140" s="18"/>
      <c r="C140" s="18"/>
      <c r="D140" s="18"/>
      <c r="E140" s="18"/>
      <c r="F140" s="18"/>
      <c r="G140" s="19"/>
      <c r="H140" s="27"/>
      <c r="I140" s="27"/>
      <c r="J140" s="27"/>
      <c r="K140" s="27"/>
      <c r="L140" s="27"/>
      <c r="M140" s="21"/>
      <c r="N140" s="27"/>
      <c r="O140" s="27"/>
      <c r="P140" s="27"/>
      <c r="Q140" s="27"/>
      <c r="R140" s="27"/>
      <c r="S140" s="21"/>
      <c r="T140" s="28"/>
      <c r="U140" s="28"/>
      <c r="V140" s="28"/>
      <c r="W140" s="28"/>
      <c r="X140" s="28"/>
      <c r="Y140" s="19"/>
      <c r="Z140" s="18"/>
      <c r="AE140" s="19"/>
      <c r="AH140" s="24"/>
      <c r="AI140" s="30"/>
      <c r="AJ140" s="30"/>
      <c r="AK140" s="30"/>
      <c r="AL140" s="24"/>
      <c r="AM140" s="24"/>
    </row>
    <row r="141" ht="15.75" customHeight="1">
      <c r="B141" s="18"/>
      <c r="C141" s="18"/>
      <c r="D141" s="18"/>
      <c r="E141" s="18"/>
      <c r="F141" s="18"/>
      <c r="G141" s="19"/>
      <c r="H141" s="27"/>
      <c r="I141" s="27"/>
      <c r="J141" s="27"/>
      <c r="K141" s="27"/>
      <c r="L141" s="27"/>
      <c r="M141" s="21"/>
      <c r="N141" s="27"/>
      <c r="O141" s="27"/>
      <c r="P141" s="27"/>
      <c r="Q141" s="27"/>
      <c r="R141" s="27"/>
      <c r="S141" s="21"/>
      <c r="T141" s="28"/>
      <c r="U141" s="28"/>
      <c r="V141" s="28"/>
      <c r="W141" s="28"/>
      <c r="X141" s="28"/>
      <c r="Y141" s="19"/>
      <c r="Z141" s="18"/>
      <c r="AE141" s="19"/>
      <c r="AH141" s="24"/>
      <c r="AI141" s="30"/>
      <c r="AJ141" s="30"/>
      <c r="AK141" s="30"/>
      <c r="AL141" s="24"/>
      <c r="AM141" s="24"/>
    </row>
    <row r="142" ht="15.75" customHeight="1">
      <c r="B142" s="18"/>
      <c r="C142" s="18"/>
      <c r="D142" s="18"/>
      <c r="E142" s="18"/>
      <c r="F142" s="18"/>
      <c r="G142" s="19"/>
      <c r="H142" s="27"/>
      <c r="I142" s="27"/>
      <c r="J142" s="27"/>
      <c r="K142" s="27"/>
      <c r="L142" s="27"/>
      <c r="M142" s="21"/>
      <c r="N142" s="27"/>
      <c r="O142" s="27"/>
      <c r="P142" s="27"/>
      <c r="Q142" s="27"/>
      <c r="R142" s="27"/>
      <c r="S142" s="21"/>
      <c r="T142" s="28"/>
      <c r="U142" s="28"/>
      <c r="V142" s="28"/>
      <c r="W142" s="28"/>
      <c r="X142" s="28"/>
      <c r="Y142" s="19"/>
      <c r="Z142" s="18"/>
      <c r="AE142" s="19"/>
      <c r="AH142" s="24"/>
      <c r="AI142" s="30"/>
      <c r="AJ142" s="30"/>
      <c r="AK142" s="30"/>
      <c r="AL142" s="24"/>
      <c r="AM142" s="24"/>
    </row>
    <row r="143" ht="15.75" customHeight="1">
      <c r="B143" s="18"/>
      <c r="C143" s="18"/>
      <c r="D143" s="18"/>
      <c r="E143" s="18"/>
      <c r="F143" s="18"/>
      <c r="G143" s="19"/>
      <c r="H143" s="27"/>
      <c r="I143" s="27"/>
      <c r="J143" s="27"/>
      <c r="K143" s="27"/>
      <c r="L143" s="27"/>
      <c r="M143" s="21"/>
      <c r="N143" s="27"/>
      <c r="O143" s="27"/>
      <c r="P143" s="27"/>
      <c r="Q143" s="27"/>
      <c r="R143" s="27"/>
      <c r="S143" s="21"/>
      <c r="T143" s="28"/>
      <c r="U143" s="28"/>
      <c r="V143" s="28"/>
      <c r="W143" s="28"/>
      <c r="X143" s="28"/>
      <c r="Y143" s="19"/>
      <c r="Z143" s="18"/>
      <c r="AE143" s="19"/>
      <c r="AH143" s="24"/>
      <c r="AI143" s="30"/>
      <c r="AJ143" s="30"/>
      <c r="AK143" s="30"/>
      <c r="AL143" s="24"/>
      <c r="AM143" s="24"/>
    </row>
    <row r="144" ht="15.75" customHeight="1">
      <c r="B144" s="18"/>
      <c r="C144" s="18"/>
      <c r="D144" s="18"/>
      <c r="E144" s="18"/>
      <c r="F144" s="18"/>
      <c r="G144" s="19"/>
      <c r="H144" s="27"/>
      <c r="I144" s="27"/>
      <c r="J144" s="27"/>
      <c r="K144" s="27"/>
      <c r="L144" s="27"/>
      <c r="M144" s="21"/>
      <c r="N144" s="27"/>
      <c r="O144" s="27"/>
      <c r="P144" s="27"/>
      <c r="Q144" s="27"/>
      <c r="R144" s="27"/>
      <c r="S144" s="21"/>
      <c r="T144" s="28"/>
      <c r="U144" s="28"/>
      <c r="V144" s="28"/>
      <c r="W144" s="28"/>
      <c r="X144" s="28"/>
      <c r="Y144" s="19"/>
      <c r="Z144" s="18"/>
      <c r="AE144" s="19"/>
      <c r="AH144" s="24"/>
      <c r="AI144" s="30"/>
      <c r="AJ144" s="30"/>
      <c r="AK144" s="30"/>
      <c r="AL144" s="24"/>
      <c r="AM144" s="24"/>
    </row>
    <row r="145" ht="15.75" customHeight="1">
      <c r="B145" s="18"/>
      <c r="C145" s="18"/>
      <c r="D145" s="18"/>
      <c r="E145" s="18"/>
      <c r="F145" s="18"/>
      <c r="G145" s="19"/>
      <c r="H145" s="27"/>
      <c r="I145" s="27"/>
      <c r="J145" s="27"/>
      <c r="K145" s="27"/>
      <c r="L145" s="27"/>
      <c r="M145" s="21"/>
      <c r="N145" s="27"/>
      <c r="O145" s="27"/>
      <c r="P145" s="27"/>
      <c r="Q145" s="27"/>
      <c r="R145" s="27"/>
      <c r="S145" s="21"/>
      <c r="T145" s="28"/>
      <c r="U145" s="28"/>
      <c r="V145" s="28"/>
      <c r="W145" s="28"/>
      <c r="X145" s="28"/>
      <c r="Y145" s="19"/>
      <c r="Z145" s="18"/>
      <c r="AE145" s="19"/>
      <c r="AH145" s="24"/>
      <c r="AI145" s="30"/>
      <c r="AJ145" s="30"/>
      <c r="AK145" s="30"/>
      <c r="AL145" s="24"/>
      <c r="AM145" s="24"/>
    </row>
    <row r="146" ht="15.75" customHeight="1">
      <c r="B146" s="18"/>
      <c r="C146" s="18"/>
      <c r="D146" s="18"/>
      <c r="E146" s="18"/>
      <c r="F146" s="18"/>
      <c r="G146" s="19"/>
      <c r="H146" s="27"/>
      <c r="I146" s="27"/>
      <c r="J146" s="27"/>
      <c r="K146" s="27"/>
      <c r="L146" s="27"/>
      <c r="M146" s="21"/>
      <c r="N146" s="27"/>
      <c r="O146" s="27"/>
      <c r="P146" s="27"/>
      <c r="Q146" s="27"/>
      <c r="R146" s="27"/>
      <c r="S146" s="21"/>
      <c r="T146" s="28"/>
      <c r="U146" s="28"/>
      <c r="V146" s="28"/>
      <c r="W146" s="28"/>
      <c r="X146" s="28"/>
      <c r="Y146" s="19"/>
      <c r="Z146" s="18"/>
      <c r="AE146" s="19"/>
      <c r="AH146" s="24"/>
      <c r="AI146" s="30"/>
      <c r="AJ146" s="30"/>
      <c r="AK146" s="30"/>
      <c r="AL146" s="24"/>
      <c r="AM146" s="24"/>
    </row>
    <row r="147" ht="15.75" customHeight="1">
      <c r="B147" s="18"/>
      <c r="C147" s="18"/>
      <c r="D147" s="18"/>
      <c r="E147" s="18"/>
      <c r="F147" s="18"/>
      <c r="G147" s="19"/>
      <c r="H147" s="27"/>
      <c r="I147" s="27"/>
      <c r="J147" s="27"/>
      <c r="K147" s="27"/>
      <c r="L147" s="27"/>
      <c r="M147" s="21"/>
      <c r="N147" s="27"/>
      <c r="O147" s="27"/>
      <c r="P147" s="27"/>
      <c r="Q147" s="27"/>
      <c r="R147" s="27"/>
      <c r="S147" s="21"/>
      <c r="T147" s="28"/>
      <c r="U147" s="28"/>
      <c r="V147" s="28"/>
      <c r="W147" s="28"/>
      <c r="X147" s="28"/>
      <c r="Y147" s="19"/>
      <c r="Z147" s="18"/>
      <c r="AE147" s="19"/>
      <c r="AH147" s="24"/>
      <c r="AI147" s="30"/>
      <c r="AJ147" s="30"/>
      <c r="AK147" s="30"/>
      <c r="AL147" s="24"/>
      <c r="AM147" s="24"/>
    </row>
    <row r="148" ht="15.75" customHeight="1">
      <c r="B148" s="18"/>
      <c r="C148" s="18"/>
      <c r="D148" s="18"/>
      <c r="E148" s="18"/>
      <c r="F148" s="18"/>
      <c r="G148" s="19"/>
      <c r="H148" s="27"/>
      <c r="I148" s="27"/>
      <c r="J148" s="27"/>
      <c r="K148" s="27"/>
      <c r="L148" s="27"/>
      <c r="M148" s="21"/>
      <c r="N148" s="27"/>
      <c r="O148" s="27"/>
      <c r="P148" s="27"/>
      <c r="Q148" s="27"/>
      <c r="R148" s="27"/>
      <c r="S148" s="21"/>
      <c r="T148" s="28"/>
      <c r="U148" s="28"/>
      <c r="V148" s="28"/>
      <c r="W148" s="28"/>
      <c r="X148" s="28"/>
      <c r="Y148" s="19"/>
      <c r="Z148" s="18"/>
      <c r="AE148" s="19"/>
      <c r="AH148" s="24"/>
      <c r="AI148" s="30"/>
      <c r="AJ148" s="30"/>
      <c r="AK148" s="30"/>
      <c r="AL148" s="24"/>
      <c r="AM148" s="24"/>
    </row>
    <row r="149" ht="15.75" customHeight="1">
      <c r="B149" s="18"/>
      <c r="C149" s="18"/>
      <c r="D149" s="18"/>
      <c r="E149" s="18"/>
      <c r="F149" s="18"/>
      <c r="G149" s="19"/>
      <c r="H149" s="27"/>
      <c r="I149" s="27"/>
      <c r="J149" s="27"/>
      <c r="K149" s="27"/>
      <c r="L149" s="27"/>
      <c r="M149" s="21"/>
      <c r="N149" s="27"/>
      <c r="O149" s="27"/>
      <c r="P149" s="27"/>
      <c r="Q149" s="27"/>
      <c r="R149" s="27"/>
      <c r="S149" s="21"/>
      <c r="T149" s="28"/>
      <c r="U149" s="28"/>
      <c r="V149" s="28"/>
      <c r="W149" s="28"/>
      <c r="X149" s="28"/>
      <c r="Y149" s="19"/>
      <c r="Z149" s="18"/>
      <c r="AE149" s="19"/>
      <c r="AH149" s="24"/>
      <c r="AI149" s="30"/>
      <c r="AJ149" s="30"/>
      <c r="AK149" s="30"/>
      <c r="AL149" s="24"/>
      <c r="AM149" s="24"/>
    </row>
    <row r="150" ht="15.75" customHeight="1">
      <c r="B150" s="18"/>
      <c r="C150" s="18"/>
      <c r="D150" s="18"/>
      <c r="E150" s="18"/>
      <c r="F150" s="18"/>
      <c r="G150" s="19"/>
      <c r="H150" s="27"/>
      <c r="I150" s="27"/>
      <c r="J150" s="27"/>
      <c r="K150" s="27"/>
      <c r="L150" s="27"/>
      <c r="M150" s="21"/>
      <c r="N150" s="27"/>
      <c r="O150" s="27"/>
      <c r="P150" s="27"/>
      <c r="Q150" s="27"/>
      <c r="R150" s="27"/>
      <c r="S150" s="21"/>
      <c r="T150" s="28"/>
      <c r="U150" s="28"/>
      <c r="V150" s="28"/>
      <c r="W150" s="28"/>
      <c r="X150" s="28"/>
      <c r="Y150" s="19"/>
      <c r="Z150" s="18"/>
      <c r="AE150" s="19"/>
      <c r="AH150" s="24"/>
      <c r="AI150" s="30"/>
      <c r="AJ150" s="30"/>
      <c r="AK150" s="30"/>
      <c r="AL150" s="24"/>
      <c r="AM150" s="24"/>
    </row>
    <row r="151" ht="15.75" customHeight="1">
      <c r="B151" s="18"/>
      <c r="C151" s="18"/>
      <c r="D151" s="18"/>
      <c r="E151" s="18"/>
      <c r="F151" s="18"/>
      <c r="G151" s="19"/>
      <c r="H151" s="27"/>
      <c r="I151" s="27"/>
      <c r="J151" s="27"/>
      <c r="K151" s="27"/>
      <c r="L151" s="27"/>
      <c r="M151" s="21"/>
      <c r="N151" s="27"/>
      <c r="O151" s="27"/>
      <c r="P151" s="27"/>
      <c r="Q151" s="27"/>
      <c r="R151" s="27"/>
      <c r="S151" s="21"/>
      <c r="T151" s="28"/>
      <c r="U151" s="28"/>
      <c r="V151" s="28"/>
      <c r="W151" s="28"/>
      <c r="X151" s="28"/>
      <c r="Y151" s="19"/>
      <c r="Z151" s="18"/>
      <c r="AE151" s="19"/>
      <c r="AH151" s="24"/>
      <c r="AI151" s="30"/>
      <c r="AJ151" s="30"/>
      <c r="AK151" s="30"/>
      <c r="AL151" s="24"/>
      <c r="AM151" s="24"/>
    </row>
    <row r="152" ht="15.75" customHeight="1">
      <c r="B152" s="18"/>
      <c r="C152" s="18"/>
      <c r="D152" s="18"/>
      <c r="E152" s="18"/>
      <c r="F152" s="18"/>
      <c r="G152" s="19"/>
      <c r="H152" s="27"/>
      <c r="I152" s="27"/>
      <c r="J152" s="27"/>
      <c r="K152" s="27"/>
      <c r="L152" s="27"/>
      <c r="M152" s="21"/>
      <c r="N152" s="27"/>
      <c r="O152" s="27"/>
      <c r="P152" s="27"/>
      <c r="Q152" s="27"/>
      <c r="R152" s="27"/>
      <c r="S152" s="21"/>
      <c r="T152" s="28"/>
      <c r="U152" s="28"/>
      <c r="V152" s="28"/>
      <c r="W152" s="28"/>
      <c r="X152" s="28"/>
      <c r="Y152" s="19"/>
      <c r="Z152" s="18"/>
      <c r="AE152" s="19"/>
      <c r="AH152" s="24"/>
      <c r="AI152" s="30"/>
      <c r="AJ152" s="30"/>
      <c r="AK152" s="30"/>
      <c r="AL152" s="24"/>
      <c r="AM152" s="24"/>
    </row>
    <row r="153" ht="15.75" customHeight="1">
      <c r="B153" s="18"/>
      <c r="C153" s="18"/>
      <c r="D153" s="18"/>
      <c r="E153" s="18"/>
      <c r="F153" s="18"/>
      <c r="G153" s="19"/>
      <c r="H153" s="27"/>
      <c r="I153" s="27"/>
      <c r="J153" s="27"/>
      <c r="K153" s="27"/>
      <c r="L153" s="27"/>
      <c r="M153" s="21"/>
      <c r="N153" s="27"/>
      <c r="O153" s="27"/>
      <c r="P153" s="27"/>
      <c r="Q153" s="27"/>
      <c r="R153" s="27"/>
      <c r="S153" s="21"/>
      <c r="T153" s="28"/>
      <c r="U153" s="28"/>
      <c r="V153" s="28"/>
      <c r="W153" s="28"/>
      <c r="X153" s="28"/>
      <c r="Y153" s="19"/>
      <c r="Z153" s="18"/>
      <c r="AE153" s="19"/>
      <c r="AH153" s="24"/>
      <c r="AI153" s="30"/>
      <c r="AJ153" s="30"/>
      <c r="AK153" s="30"/>
      <c r="AL153" s="24"/>
      <c r="AM153" s="24"/>
    </row>
    <row r="154" ht="15.75" customHeight="1">
      <c r="B154" s="18"/>
      <c r="C154" s="18"/>
      <c r="D154" s="18"/>
      <c r="E154" s="18"/>
      <c r="F154" s="18"/>
      <c r="G154" s="19"/>
      <c r="H154" s="27"/>
      <c r="I154" s="27"/>
      <c r="J154" s="27"/>
      <c r="K154" s="27"/>
      <c r="L154" s="27"/>
      <c r="M154" s="21"/>
      <c r="N154" s="27"/>
      <c r="O154" s="27"/>
      <c r="P154" s="27"/>
      <c r="Q154" s="27"/>
      <c r="R154" s="27"/>
      <c r="S154" s="21"/>
      <c r="T154" s="28"/>
      <c r="U154" s="28"/>
      <c r="V154" s="28"/>
      <c r="W154" s="28"/>
      <c r="X154" s="28"/>
      <c r="Y154" s="19"/>
      <c r="Z154" s="18"/>
      <c r="AE154" s="19"/>
      <c r="AH154" s="24"/>
      <c r="AI154" s="30"/>
      <c r="AJ154" s="30"/>
      <c r="AK154" s="30"/>
      <c r="AL154" s="24"/>
      <c r="AM154" s="24"/>
    </row>
    <row r="155" ht="15.75" customHeight="1">
      <c r="B155" s="18"/>
      <c r="C155" s="18"/>
      <c r="D155" s="18"/>
      <c r="E155" s="18"/>
      <c r="F155" s="18"/>
      <c r="G155" s="19"/>
      <c r="H155" s="27"/>
      <c r="I155" s="27"/>
      <c r="J155" s="27"/>
      <c r="K155" s="27"/>
      <c r="L155" s="27"/>
      <c r="M155" s="21"/>
      <c r="N155" s="27"/>
      <c r="O155" s="27"/>
      <c r="P155" s="27"/>
      <c r="Q155" s="27"/>
      <c r="R155" s="27"/>
      <c r="S155" s="21"/>
      <c r="T155" s="28"/>
      <c r="U155" s="28"/>
      <c r="V155" s="28"/>
      <c r="W155" s="28"/>
      <c r="X155" s="28"/>
      <c r="Y155" s="19"/>
      <c r="Z155" s="18"/>
      <c r="AE155" s="19"/>
      <c r="AH155" s="24"/>
      <c r="AI155" s="30"/>
      <c r="AJ155" s="30"/>
      <c r="AK155" s="30"/>
      <c r="AL155" s="24"/>
      <c r="AM155" s="24"/>
    </row>
    <row r="156" ht="15.75" customHeight="1">
      <c r="B156" s="18"/>
      <c r="C156" s="18"/>
      <c r="D156" s="18"/>
      <c r="E156" s="18"/>
      <c r="F156" s="18"/>
      <c r="G156" s="19"/>
      <c r="H156" s="27"/>
      <c r="I156" s="27"/>
      <c r="J156" s="27"/>
      <c r="K156" s="27"/>
      <c r="L156" s="27"/>
      <c r="M156" s="21"/>
      <c r="N156" s="27"/>
      <c r="O156" s="27"/>
      <c r="P156" s="27"/>
      <c r="Q156" s="27"/>
      <c r="R156" s="27"/>
      <c r="S156" s="21"/>
      <c r="T156" s="28"/>
      <c r="U156" s="28"/>
      <c r="V156" s="28"/>
      <c r="W156" s="28"/>
      <c r="X156" s="28"/>
      <c r="Y156" s="19"/>
      <c r="Z156" s="18"/>
      <c r="AE156" s="19"/>
      <c r="AH156" s="24"/>
      <c r="AI156" s="30"/>
      <c r="AJ156" s="30"/>
      <c r="AK156" s="30"/>
      <c r="AL156" s="24"/>
      <c r="AM156" s="24"/>
    </row>
    <row r="157" ht="15.75" customHeight="1">
      <c r="B157" s="18"/>
      <c r="C157" s="18"/>
      <c r="D157" s="18"/>
      <c r="E157" s="18"/>
      <c r="F157" s="18"/>
      <c r="G157" s="19"/>
      <c r="H157" s="27"/>
      <c r="I157" s="27"/>
      <c r="J157" s="27"/>
      <c r="K157" s="27"/>
      <c r="L157" s="27"/>
      <c r="M157" s="21"/>
      <c r="N157" s="27"/>
      <c r="O157" s="27"/>
      <c r="P157" s="27"/>
      <c r="Q157" s="27"/>
      <c r="R157" s="27"/>
      <c r="S157" s="21"/>
      <c r="T157" s="28"/>
      <c r="U157" s="28"/>
      <c r="V157" s="28"/>
      <c r="W157" s="28"/>
      <c r="X157" s="28"/>
      <c r="Y157" s="19"/>
      <c r="Z157" s="18"/>
      <c r="AE157" s="19"/>
      <c r="AH157" s="24"/>
      <c r="AI157" s="30"/>
      <c r="AJ157" s="30"/>
      <c r="AK157" s="30"/>
      <c r="AL157" s="24"/>
      <c r="AM157" s="24"/>
    </row>
    <row r="158" ht="15.75" customHeight="1">
      <c r="B158" s="18"/>
      <c r="C158" s="18"/>
      <c r="D158" s="18"/>
      <c r="E158" s="18"/>
      <c r="F158" s="18"/>
      <c r="G158" s="19"/>
      <c r="H158" s="27"/>
      <c r="I158" s="27"/>
      <c r="J158" s="27"/>
      <c r="K158" s="27"/>
      <c r="L158" s="27"/>
      <c r="M158" s="21"/>
      <c r="N158" s="27"/>
      <c r="O158" s="27"/>
      <c r="P158" s="27"/>
      <c r="Q158" s="27"/>
      <c r="R158" s="27"/>
      <c r="S158" s="21"/>
      <c r="T158" s="28"/>
      <c r="U158" s="28"/>
      <c r="V158" s="28"/>
      <c r="W158" s="28"/>
      <c r="X158" s="28"/>
      <c r="Y158" s="19"/>
      <c r="Z158" s="18"/>
      <c r="AE158" s="19"/>
      <c r="AH158" s="24"/>
      <c r="AI158" s="30"/>
      <c r="AJ158" s="30"/>
      <c r="AK158" s="30"/>
      <c r="AL158" s="24"/>
      <c r="AM158" s="24"/>
    </row>
    <row r="159" ht="15.75" customHeight="1">
      <c r="B159" s="18"/>
      <c r="C159" s="18"/>
      <c r="D159" s="18"/>
      <c r="E159" s="18"/>
      <c r="F159" s="18"/>
      <c r="G159" s="19"/>
      <c r="H159" s="27"/>
      <c r="I159" s="27"/>
      <c r="J159" s="27"/>
      <c r="K159" s="27"/>
      <c r="L159" s="27"/>
      <c r="M159" s="21"/>
      <c r="N159" s="27"/>
      <c r="O159" s="27"/>
      <c r="P159" s="27"/>
      <c r="Q159" s="27"/>
      <c r="R159" s="27"/>
      <c r="S159" s="21"/>
      <c r="T159" s="28"/>
      <c r="U159" s="28"/>
      <c r="V159" s="28"/>
      <c r="W159" s="28"/>
      <c r="X159" s="28"/>
      <c r="Y159" s="19"/>
      <c r="Z159" s="18"/>
      <c r="AE159" s="19"/>
      <c r="AH159" s="24"/>
      <c r="AI159" s="30"/>
      <c r="AJ159" s="30"/>
      <c r="AK159" s="30"/>
      <c r="AL159" s="24"/>
      <c r="AM159" s="24"/>
    </row>
    <row r="160" ht="15.75" customHeight="1">
      <c r="B160" s="18"/>
      <c r="C160" s="18"/>
      <c r="D160" s="18"/>
      <c r="E160" s="18"/>
      <c r="F160" s="18"/>
      <c r="G160" s="19"/>
      <c r="H160" s="27"/>
      <c r="I160" s="27"/>
      <c r="J160" s="27"/>
      <c r="K160" s="27"/>
      <c r="L160" s="27"/>
      <c r="M160" s="21"/>
      <c r="N160" s="27"/>
      <c r="O160" s="27"/>
      <c r="P160" s="27"/>
      <c r="Q160" s="27"/>
      <c r="R160" s="27"/>
      <c r="S160" s="21"/>
      <c r="T160" s="28"/>
      <c r="U160" s="28"/>
      <c r="V160" s="28"/>
      <c r="W160" s="28"/>
      <c r="X160" s="28"/>
      <c r="Y160" s="19"/>
      <c r="Z160" s="18"/>
      <c r="AE160" s="19"/>
      <c r="AH160" s="24"/>
      <c r="AI160" s="30"/>
      <c r="AJ160" s="30"/>
      <c r="AK160" s="30"/>
      <c r="AL160" s="24"/>
      <c r="AM160" s="24"/>
    </row>
    <row r="161" ht="15.75" customHeight="1">
      <c r="B161" s="18"/>
      <c r="C161" s="18"/>
      <c r="D161" s="18"/>
      <c r="E161" s="18"/>
      <c r="F161" s="18"/>
      <c r="G161" s="19"/>
      <c r="H161" s="27"/>
      <c r="I161" s="27"/>
      <c r="J161" s="27"/>
      <c r="K161" s="27"/>
      <c r="L161" s="27"/>
      <c r="M161" s="21"/>
      <c r="N161" s="27"/>
      <c r="O161" s="27"/>
      <c r="P161" s="27"/>
      <c r="Q161" s="27"/>
      <c r="R161" s="27"/>
      <c r="S161" s="21"/>
      <c r="T161" s="28"/>
      <c r="U161" s="28"/>
      <c r="V161" s="28"/>
      <c r="W161" s="28"/>
      <c r="X161" s="28"/>
      <c r="Y161" s="19"/>
      <c r="Z161" s="18"/>
      <c r="AE161" s="19"/>
      <c r="AH161" s="24"/>
      <c r="AI161" s="30"/>
      <c r="AJ161" s="30"/>
      <c r="AK161" s="30"/>
      <c r="AL161" s="24"/>
      <c r="AM161" s="24"/>
    </row>
    <row r="162" ht="15.75" customHeight="1">
      <c r="B162" s="18"/>
      <c r="C162" s="18"/>
      <c r="D162" s="18"/>
      <c r="E162" s="18"/>
      <c r="F162" s="18"/>
      <c r="G162" s="19"/>
      <c r="H162" s="27"/>
      <c r="I162" s="27"/>
      <c r="J162" s="27"/>
      <c r="K162" s="27"/>
      <c r="L162" s="27"/>
      <c r="M162" s="21"/>
      <c r="N162" s="27"/>
      <c r="O162" s="27"/>
      <c r="P162" s="27"/>
      <c r="Q162" s="27"/>
      <c r="R162" s="27"/>
      <c r="S162" s="21"/>
      <c r="T162" s="28"/>
      <c r="U162" s="28"/>
      <c r="V162" s="28"/>
      <c r="W162" s="28"/>
      <c r="X162" s="28"/>
      <c r="Y162" s="19"/>
      <c r="Z162" s="18"/>
      <c r="AE162" s="19"/>
      <c r="AH162" s="24"/>
      <c r="AI162" s="30"/>
      <c r="AJ162" s="30"/>
      <c r="AK162" s="30"/>
      <c r="AL162" s="24"/>
      <c r="AM162" s="24"/>
    </row>
    <row r="163" ht="15.75" customHeight="1">
      <c r="B163" s="18"/>
      <c r="C163" s="18"/>
      <c r="D163" s="18"/>
      <c r="E163" s="18"/>
      <c r="F163" s="18"/>
      <c r="G163" s="19"/>
      <c r="H163" s="27"/>
      <c r="I163" s="27"/>
      <c r="J163" s="27"/>
      <c r="K163" s="27"/>
      <c r="L163" s="27"/>
      <c r="M163" s="21"/>
      <c r="N163" s="27"/>
      <c r="O163" s="27"/>
      <c r="P163" s="27"/>
      <c r="Q163" s="27"/>
      <c r="R163" s="27"/>
      <c r="S163" s="21"/>
      <c r="T163" s="28"/>
      <c r="U163" s="28"/>
      <c r="V163" s="28"/>
      <c r="W163" s="28"/>
      <c r="X163" s="28"/>
      <c r="Y163" s="19"/>
      <c r="Z163" s="18"/>
      <c r="AE163" s="19"/>
      <c r="AH163" s="24"/>
      <c r="AI163" s="30"/>
      <c r="AJ163" s="30"/>
      <c r="AK163" s="30"/>
      <c r="AL163" s="24"/>
      <c r="AM163" s="24"/>
    </row>
    <row r="164" ht="15.75" customHeight="1">
      <c r="B164" s="18"/>
      <c r="C164" s="18"/>
      <c r="D164" s="18"/>
      <c r="E164" s="18"/>
      <c r="F164" s="18"/>
      <c r="G164" s="19"/>
      <c r="H164" s="27"/>
      <c r="I164" s="27"/>
      <c r="J164" s="27"/>
      <c r="K164" s="27"/>
      <c r="L164" s="27"/>
      <c r="M164" s="21"/>
      <c r="N164" s="27"/>
      <c r="O164" s="27"/>
      <c r="P164" s="27"/>
      <c r="Q164" s="27"/>
      <c r="R164" s="27"/>
      <c r="S164" s="21"/>
      <c r="T164" s="28"/>
      <c r="U164" s="28"/>
      <c r="V164" s="28"/>
      <c r="W164" s="28"/>
      <c r="X164" s="28"/>
      <c r="Y164" s="19"/>
      <c r="Z164" s="18"/>
      <c r="AE164" s="19"/>
      <c r="AH164" s="24"/>
      <c r="AI164" s="30"/>
      <c r="AJ164" s="30"/>
      <c r="AK164" s="30"/>
      <c r="AL164" s="24"/>
      <c r="AM164" s="24"/>
    </row>
    <row r="165" ht="15.75" customHeight="1">
      <c r="B165" s="18"/>
      <c r="C165" s="18"/>
      <c r="D165" s="18"/>
      <c r="E165" s="18"/>
      <c r="F165" s="18"/>
      <c r="G165" s="19"/>
      <c r="H165" s="27"/>
      <c r="I165" s="27"/>
      <c r="J165" s="27"/>
      <c r="K165" s="27"/>
      <c r="L165" s="27"/>
      <c r="M165" s="21"/>
      <c r="N165" s="27"/>
      <c r="O165" s="27"/>
      <c r="P165" s="27"/>
      <c r="Q165" s="27"/>
      <c r="R165" s="27"/>
      <c r="S165" s="21"/>
      <c r="T165" s="28"/>
      <c r="U165" s="28"/>
      <c r="V165" s="28"/>
      <c r="W165" s="28"/>
      <c r="X165" s="28"/>
      <c r="Y165" s="19"/>
      <c r="Z165" s="18"/>
      <c r="AE165" s="19"/>
      <c r="AH165" s="24"/>
      <c r="AI165" s="30"/>
      <c r="AJ165" s="30"/>
      <c r="AK165" s="30"/>
      <c r="AL165" s="24"/>
      <c r="AM165" s="24"/>
    </row>
    <row r="166" ht="15.75" customHeight="1">
      <c r="B166" s="18"/>
      <c r="C166" s="18"/>
      <c r="D166" s="18"/>
      <c r="E166" s="18"/>
      <c r="F166" s="18"/>
      <c r="G166" s="19"/>
      <c r="H166" s="27"/>
      <c r="I166" s="27"/>
      <c r="J166" s="27"/>
      <c r="K166" s="27"/>
      <c r="L166" s="27"/>
      <c r="M166" s="21"/>
      <c r="N166" s="27"/>
      <c r="O166" s="27"/>
      <c r="P166" s="27"/>
      <c r="Q166" s="27"/>
      <c r="R166" s="27"/>
      <c r="S166" s="21"/>
      <c r="T166" s="28"/>
      <c r="U166" s="28"/>
      <c r="V166" s="28"/>
      <c r="W166" s="28"/>
      <c r="X166" s="28"/>
      <c r="Y166" s="19"/>
      <c r="Z166" s="18"/>
      <c r="AE166" s="19"/>
      <c r="AH166" s="24"/>
      <c r="AI166" s="30"/>
      <c r="AJ166" s="30"/>
      <c r="AK166" s="30"/>
      <c r="AL166" s="24"/>
      <c r="AM166" s="24"/>
    </row>
    <row r="167" ht="15.75" customHeight="1">
      <c r="B167" s="18"/>
      <c r="C167" s="18"/>
      <c r="D167" s="18"/>
      <c r="E167" s="18"/>
      <c r="F167" s="18"/>
      <c r="G167" s="19"/>
      <c r="H167" s="27"/>
      <c r="I167" s="27"/>
      <c r="J167" s="27"/>
      <c r="K167" s="27"/>
      <c r="L167" s="27"/>
      <c r="M167" s="21"/>
      <c r="N167" s="27"/>
      <c r="O167" s="27"/>
      <c r="P167" s="27"/>
      <c r="Q167" s="27"/>
      <c r="R167" s="27"/>
      <c r="S167" s="21"/>
      <c r="T167" s="28"/>
      <c r="U167" s="28"/>
      <c r="V167" s="28"/>
      <c r="W167" s="28"/>
      <c r="X167" s="28"/>
      <c r="Y167" s="19"/>
      <c r="Z167" s="18"/>
      <c r="AE167" s="19"/>
      <c r="AH167" s="24"/>
      <c r="AI167" s="30"/>
      <c r="AJ167" s="30"/>
      <c r="AK167" s="30"/>
      <c r="AL167" s="24"/>
      <c r="AM167" s="24"/>
    </row>
    <row r="168" ht="15.75" customHeight="1">
      <c r="B168" s="18"/>
      <c r="C168" s="18"/>
      <c r="D168" s="18"/>
      <c r="E168" s="18"/>
      <c r="F168" s="18"/>
      <c r="G168" s="19"/>
      <c r="H168" s="27"/>
      <c r="I168" s="27"/>
      <c r="J168" s="27"/>
      <c r="K168" s="27"/>
      <c r="L168" s="27"/>
      <c r="M168" s="21"/>
      <c r="N168" s="27"/>
      <c r="O168" s="27"/>
      <c r="P168" s="27"/>
      <c r="Q168" s="27"/>
      <c r="R168" s="27"/>
      <c r="S168" s="21"/>
      <c r="T168" s="28"/>
      <c r="U168" s="28"/>
      <c r="V168" s="28"/>
      <c r="W168" s="28"/>
      <c r="X168" s="28"/>
      <c r="Y168" s="19"/>
      <c r="Z168" s="18"/>
      <c r="AE168" s="19"/>
      <c r="AH168" s="24"/>
      <c r="AI168" s="30"/>
      <c r="AJ168" s="30"/>
      <c r="AK168" s="30"/>
      <c r="AL168" s="24"/>
      <c r="AM168" s="24"/>
    </row>
    <row r="169" ht="15.75" customHeight="1">
      <c r="B169" s="18"/>
      <c r="C169" s="18"/>
      <c r="D169" s="18"/>
      <c r="E169" s="18"/>
      <c r="F169" s="18"/>
      <c r="G169" s="19"/>
      <c r="H169" s="27"/>
      <c r="I169" s="27"/>
      <c r="J169" s="27"/>
      <c r="K169" s="27"/>
      <c r="L169" s="27"/>
      <c r="M169" s="21"/>
      <c r="N169" s="27"/>
      <c r="O169" s="27"/>
      <c r="P169" s="27"/>
      <c r="Q169" s="27"/>
      <c r="R169" s="27"/>
      <c r="S169" s="21"/>
      <c r="T169" s="28"/>
      <c r="U169" s="28"/>
      <c r="V169" s="28"/>
      <c r="W169" s="28"/>
      <c r="X169" s="28"/>
      <c r="Y169" s="19"/>
      <c r="Z169" s="18"/>
      <c r="AE169" s="19"/>
      <c r="AH169" s="24"/>
      <c r="AI169" s="30"/>
      <c r="AJ169" s="30"/>
      <c r="AK169" s="30"/>
      <c r="AL169" s="24"/>
      <c r="AM169" s="24"/>
    </row>
    <row r="170" ht="15.75" customHeight="1">
      <c r="B170" s="18"/>
      <c r="C170" s="18"/>
      <c r="D170" s="18"/>
      <c r="E170" s="18"/>
      <c r="F170" s="18"/>
      <c r="G170" s="19"/>
      <c r="H170" s="27"/>
      <c r="I170" s="27"/>
      <c r="J170" s="27"/>
      <c r="K170" s="27"/>
      <c r="L170" s="27"/>
      <c r="M170" s="21"/>
      <c r="N170" s="27"/>
      <c r="O170" s="27"/>
      <c r="P170" s="27"/>
      <c r="Q170" s="27"/>
      <c r="R170" s="27"/>
      <c r="S170" s="21"/>
      <c r="T170" s="28"/>
      <c r="U170" s="28"/>
      <c r="V170" s="28"/>
      <c r="W170" s="28"/>
      <c r="X170" s="28"/>
      <c r="Y170" s="19"/>
      <c r="Z170" s="18"/>
      <c r="AE170" s="19"/>
      <c r="AH170" s="24"/>
      <c r="AI170" s="30"/>
      <c r="AJ170" s="30"/>
      <c r="AK170" s="30"/>
      <c r="AL170" s="24"/>
      <c r="AM170" s="24"/>
    </row>
    <row r="171" ht="15.75" customHeight="1">
      <c r="B171" s="18"/>
      <c r="C171" s="18"/>
      <c r="D171" s="18"/>
      <c r="E171" s="18"/>
      <c r="F171" s="18"/>
      <c r="G171" s="19"/>
      <c r="H171" s="27"/>
      <c r="I171" s="27"/>
      <c r="J171" s="27"/>
      <c r="K171" s="27"/>
      <c r="L171" s="27"/>
      <c r="M171" s="21"/>
      <c r="N171" s="27"/>
      <c r="O171" s="27"/>
      <c r="P171" s="27"/>
      <c r="Q171" s="27"/>
      <c r="R171" s="27"/>
      <c r="S171" s="21"/>
      <c r="T171" s="28"/>
      <c r="U171" s="28"/>
      <c r="V171" s="28"/>
      <c r="W171" s="28"/>
      <c r="X171" s="28"/>
      <c r="Y171" s="19"/>
      <c r="Z171" s="18"/>
      <c r="AE171" s="19"/>
      <c r="AH171" s="24"/>
      <c r="AI171" s="30"/>
      <c r="AJ171" s="30"/>
      <c r="AK171" s="30"/>
      <c r="AL171" s="24"/>
      <c r="AM171" s="24"/>
    </row>
    <row r="172" ht="15.75" customHeight="1">
      <c r="B172" s="18"/>
      <c r="C172" s="18"/>
      <c r="D172" s="18"/>
      <c r="E172" s="18"/>
      <c r="F172" s="18"/>
      <c r="G172" s="19"/>
      <c r="H172" s="27"/>
      <c r="I172" s="27"/>
      <c r="J172" s="27"/>
      <c r="K172" s="27"/>
      <c r="L172" s="27"/>
      <c r="M172" s="21"/>
      <c r="N172" s="27"/>
      <c r="O172" s="27"/>
      <c r="P172" s="27"/>
      <c r="Q172" s="27"/>
      <c r="R172" s="27"/>
      <c r="S172" s="21"/>
      <c r="T172" s="28"/>
      <c r="U172" s="28"/>
      <c r="V172" s="28"/>
      <c r="W172" s="28"/>
      <c r="X172" s="28"/>
      <c r="Y172" s="19"/>
      <c r="Z172" s="18"/>
      <c r="AE172" s="19"/>
      <c r="AH172" s="24"/>
      <c r="AI172" s="30"/>
      <c r="AJ172" s="30"/>
      <c r="AK172" s="30"/>
      <c r="AL172" s="24"/>
      <c r="AM172" s="24"/>
    </row>
    <row r="173" ht="15.75" customHeight="1">
      <c r="B173" s="18"/>
      <c r="C173" s="18"/>
      <c r="D173" s="18"/>
      <c r="E173" s="18"/>
      <c r="F173" s="18"/>
      <c r="G173" s="19"/>
      <c r="H173" s="27"/>
      <c r="I173" s="27"/>
      <c r="J173" s="27"/>
      <c r="K173" s="27"/>
      <c r="L173" s="27"/>
      <c r="M173" s="21"/>
      <c r="N173" s="27"/>
      <c r="O173" s="27"/>
      <c r="P173" s="27"/>
      <c r="Q173" s="27"/>
      <c r="R173" s="27"/>
      <c r="S173" s="21"/>
      <c r="T173" s="28"/>
      <c r="U173" s="28"/>
      <c r="V173" s="28"/>
      <c r="W173" s="28"/>
      <c r="X173" s="28"/>
      <c r="Y173" s="19"/>
      <c r="Z173" s="18"/>
      <c r="AE173" s="19"/>
      <c r="AH173" s="24"/>
      <c r="AI173" s="30"/>
      <c r="AJ173" s="30"/>
      <c r="AK173" s="30"/>
      <c r="AL173" s="24"/>
      <c r="AM173" s="24"/>
    </row>
    <row r="174" ht="15.75" customHeight="1">
      <c r="B174" s="18"/>
      <c r="C174" s="18"/>
      <c r="D174" s="18"/>
      <c r="E174" s="18"/>
      <c r="F174" s="18"/>
      <c r="G174" s="19"/>
      <c r="H174" s="27"/>
      <c r="I174" s="27"/>
      <c r="J174" s="27"/>
      <c r="K174" s="27"/>
      <c r="L174" s="27"/>
      <c r="M174" s="21"/>
      <c r="N174" s="27"/>
      <c r="O174" s="27"/>
      <c r="P174" s="27"/>
      <c r="Q174" s="27"/>
      <c r="R174" s="27"/>
      <c r="S174" s="21"/>
      <c r="T174" s="28"/>
      <c r="U174" s="28"/>
      <c r="V174" s="28"/>
      <c r="W174" s="28"/>
      <c r="X174" s="28"/>
      <c r="Y174" s="19"/>
      <c r="Z174" s="18"/>
      <c r="AE174" s="19"/>
      <c r="AH174" s="24"/>
      <c r="AI174" s="30"/>
      <c r="AJ174" s="30"/>
      <c r="AK174" s="30"/>
      <c r="AL174" s="24"/>
      <c r="AM174" s="24"/>
    </row>
    <row r="175" ht="15.75" customHeight="1">
      <c r="B175" s="18"/>
      <c r="C175" s="18"/>
      <c r="D175" s="18"/>
      <c r="E175" s="18"/>
      <c r="F175" s="18"/>
      <c r="G175" s="19"/>
      <c r="H175" s="27"/>
      <c r="I175" s="27"/>
      <c r="J175" s="27"/>
      <c r="K175" s="27"/>
      <c r="L175" s="27"/>
      <c r="M175" s="21"/>
      <c r="N175" s="27"/>
      <c r="O175" s="27"/>
      <c r="P175" s="27"/>
      <c r="Q175" s="27"/>
      <c r="R175" s="27"/>
      <c r="S175" s="21"/>
      <c r="T175" s="28"/>
      <c r="U175" s="28"/>
      <c r="V175" s="28"/>
      <c r="W175" s="28"/>
      <c r="X175" s="28"/>
      <c r="Y175" s="19"/>
      <c r="Z175" s="18"/>
      <c r="AE175" s="19"/>
      <c r="AH175" s="24"/>
      <c r="AI175" s="30"/>
      <c r="AJ175" s="30"/>
      <c r="AK175" s="30"/>
      <c r="AL175" s="24"/>
      <c r="AM175" s="24"/>
    </row>
    <row r="176" ht="15.75" customHeight="1">
      <c r="B176" s="18"/>
      <c r="C176" s="18"/>
      <c r="D176" s="18"/>
      <c r="E176" s="18"/>
      <c r="F176" s="18"/>
      <c r="G176" s="19"/>
      <c r="H176" s="27"/>
      <c r="I176" s="27"/>
      <c r="J176" s="27"/>
      <c r="K176" s="27"/>
      <c r="L176" s="27"/>
      <c r="M176" s="21"/>
      <c r="N176" s="27"/>
      <c r="O176" s="27"/>
      <c r="P176" s="27"/>
      <c r="Q176" s="27"/>
      <c r="R176" s="27"/>
      <c r="S176" s="21"/>
      <c r="T176" s="28"/>
      <c r="U176" s="28"/>
      <c r="V176" s="28"/>
      <c r="W176" s="28"/>
      <c r="X176" s="28"/>
      <c r="Y176" s="19"/>
      <c r="Z176" s="18"/>
      <c r="AE176" s="19"/>
      <c r="AH176" s="24"/>
      <c r="AI176" s="30"/>
      <c r="AJ176" s="30"/>
      <c r="AK176" s="30"/>
      <c r="AL176" s="24"/>
      <c r="AM176" s="24"/>
    </row>
    <row r="177" ht="15.75" customHeight="1">
      <c r="B177" s="18"/>
      <c r="C177" s="18"/>
      <c r="D177" s="18"/>
      <c r="E177" s="18"/>
      <c r="F177" s="18"/>
      <c r="G177" s="19"/>
      <c r="H177" s="27"/>
      <c r="I177" s="27"/>
      <c r="J177" s="27"/>
      <c r="K177" s="27"/>
      <c r="L177" s="27"/>
      <c r="M177" s="21"/>
      <c r="N177" s="27"/>
      <c r="O177" s="27"/>
      <c r="P177" s="27"/>
      <c r="Q177" s="27"/>
      <c r="R177" s="27"/>
      <c r="S177" s="21"/>
      <c r="T177" s="28"/>
      <c r="U177" s="28"/>
      <c r="V177" s="28"/>
      <c r="W177" s="28"/>
      <c r="X177" s="28"/>
      <c r="Y177" s="19"/>
      <c r="Z177" s="18"/>
      <c r="AE177" s="19"/>
      <c r="AH177" s="24"/>
      <c r="AI177" s="30"/>
      <c r="AJ177" s="30"/>
      <c r="AK177" s="30"/>
      <c r="AL177" s="24"/>
      <c r="AM177" s="24"/>
    </row>
    <row r="178" ht="15.75" customHeight="1">
      <c r="B178" s="18"/>
      <c r="C178" s="18"/>
      <c r="D178" s="18"/>
      <c r="E178" s="18"/>
      <c r="F178" s="18"/>
      <c r="G178" s="19"/>
      <c r="H178" s="27"/>
      <c r="I178" s="27"/>
      <c r="J178" s="27"/>
      <c r="K178" s="27"/>
      <c r="L178" s="27"/>
      <c r="M178" s="21"/>
      <c r="N178" s="27"/>
      <c r="O178" s="27"/>
      <c r="P178" s="27"/>
      <c r="Q178" s="27"/>
      <c r="R178" s="27"/>
      <c r="S178" s="21"/>
      <c r="T178" s="28"/>
      <c r="U178" s="28"/>
      <c r="V178" s="28"/>
      <c r="W178" s="28"/>
      <c r="X178" s="28"/>
      <c r="Y178" s="19"/>
      <c r="Z178" s="18"/>
      <c r="AE178" s="19"/>
      <c r="AH178" s="24"/>
      <c r="AI178" s="30"/>
      <c r="AJ178" s="30"/>
      <c r="AK178" s="30"/>
      <c r="AL178" s="24"/>
      <c r="AM178" s="24"/>
    </row>
    <row r="179" ht="15.75" customHeight="1">
      <c r="B179" s="18"/>
      <c r="C179" s="18"/>
      <c r="D179" s="18"/>
      <c r="E179" s="18"/>
      <c r="F179" s="18"/>
      <c r="G179" s="19"/>
      <c r="H179" s="27"/>
      <c r="I179" s="27"/>
      <c r="J179" s="27"/>
      <c r="K179" s="27"/>
      <c r="L179" s="27"/>
      <c r="M179" s="21"/>
      <c r="N179" s="27"/>
      <c r="O179" s="27"/>
      <c r="P179" s="27"/>
      <c r="Q179" s="27"/>
      <c r="R179" s="27"/>
      <c r="S179" s="21"/>
      <c r="T179" s="28"/>
      <c r="U179" s="28"/>
      <c r="V179" s="28"/>
      <c r="W179" s="28"/>
      <c r="X179" s="28"/>
      <c r="Y179" s="19"/>
      <c r="Z179" s="18"/>
      <c r="AE179" s="19"/>
      <c r="AH179" s="24"/>
      <c r="AI179" s="30"/>
      <c r="AJ179" s="30"/>
      <c r="AK179" s="30"/>
      <c r="AL179" s="24"/>
      <c r="AM179" s="24"/>
    </row>
    <row r="180" ht="15.75" customHeight="1">
      <c r="B180" s="18"/>
      <c r="C180" s="18"/>
      <c r="D180" s="18"/>
      <c r="E180" s="18"/>
      <c r="F180" s="18"/>
      <c r="G180" s="19"/>
      <c r="H180" s="27"/>
      <c r="I180" s="27"/>
      <c r="J180" s="27"/>
      <c r="K180" s="27"/>
      <c r="L180" s="27"/>
      <c r="M180" s="21"/>
      <c r="N180" s="27"/>
      <c r="O180" s="27"/>
      <c r="P180" s="27"/>
      <c r="Q180" s="27"/>
      <c r="R180" s="27"/>
      <c r="S180" s="21"/>
      <c r="T180" s="28"/>
      <c r="U180" s="28"/>
      <c r="V180" s="28"/>
      <c r="W180" s="28"/>
      <c r="X180" s="28"/>
      <c r="Y180" s="19"/>
      <c r="Z180" s="18"/>
      <c r="AE180" s="19"/>
      <c r="AH180" s="24"/>
      <c r="AI180" s="30"/>
      <c r="AJ180" s="30"/>
      <c r="AK180" s="30"/>
      <c r="AL180" s="24"/>
      <c r="AM180" s="24"/>
    </row>
    <row r="181" ht="15.75" customHeight="1">
      <c r="B181" s="18"/>
      <c r="C181" s="18"/>
      <c r="D181" s="18"/>
      <c r="E181" s="18"/>
      <c r="F181" s="18"/>
      <c r="G181" s="19"/>
      <c r="H181" s="27"/>
      <c r="I181" s="27"/>
      <c r="J181" s="27"/>
      <c r="K181" s="27"/>
      <c r="L181" s="27"/>
      <c r="M181" s="21"/>
      <c r="N181" s="27"/>
      <c r="O181" s="27"/>
      <c r="P181" s="27"/>
      <c r="Q181" s="27"/>
      <c r="R181" s="27"/>
      <c r="S181" s="21"/>
      <c r="T181" s="28"/>
      <c r="U181" s="28"/>
      <c r="V181" s="28"/>
      <c r="W181" s="28"/>
      <c r="X181" s="28"/>
      <c r="Y181" s="19"/>
      <c r="Z181" s="18"/>
      <c r="AE181" s="19"/>
      <c r="AH181" s="24"/>
      <c r="AI181" s="30"/>
      <c r="AJ181" s="30"/>
      <c r="AK181" s="30"/>
      <c r="AL181" s="24"/>
      <c r="AM181" s="24"/>
    </row>
    <row r="182" ht="15.75" customHeight="1">
      <c r="B182" s="18"/>
      <c r="C182" s="18"/>
      <c r="D182" s="18"/>
      <c r="E182" s="18"/>
      <c r="F182" s="18"/>
      <c r="G182" s="19"/>
      <c r="H182" s="27"/>
      <c r="I182" s="27"/>
      <c r="J182" s="27"/>
      <c r="K182" s="27"/>
      <c r="L182" s="27"/>
      <c r="M182" s="21"/>
      <c r="N182" s="27"/>
      <c r="O182" s="27"/>
      <c r="P182" s="27"/>
      <c r="Q182" s="27"/>
      <c r="R182" s="27"/>
      <c r="S182" s="21"/>
      <c r="T182" s="28"/>
      <c r="U182" s="28"/>
      <c r="V182" s="28"/>
      <c r="W182" s="28"/>
      <c r="X182" s="28"/>
      <c r="Y182" s="19"/>
      <c r="Z182" s="18"/>
      <c r="AE182" s="19"/>
      <c r="AH182" s="24"/>
      <c r="AI182" s="30"/>
      <c r="AJ182" s="30"/>
      <c r="AK182" s="30"/>
      <c r="AL182" s="24"/>
      <c r="AM182" s="24"/>
    </row>
    <row r="183" ht="15.75" customHeight="1">
      <c r="B183" s="18"/>
      <c r="C183" s="18"/>
      <c r="D183" s="18"/>
      <c r="E183" s="18"/>
      <c r="F183" s="18"/>
      <c r="G183" s="19"/>
      <c r="H183" s="27"/>
      <c r="I183" s="27"/>
      <c r="J183" s="27"/>
      <c r="K183" s="27"/>
      <c r="L183" s="27"/>
      <c r="M183" s="21"/>
      <c r="N183" s="27"/>
      <c r="O183" s="27"/>
      <c r="P183" s="27"/>
      <c r="Q183" s="27"/>
      <c r="R183" s="27"/>
      <c r="S183" s="21"/>
      <c r="T183" s="28"/>
      <c r="U183" s="28"/>
      <c r="V183" s="28"/>
      <c r="W183" s="28"/>
      <c r="X183" s="28"/>
      <c r="Y183" s="19"/>
      <c r="Z183" s="18"/>
      <c r="AE183" s="19"/>
      <c r="AH183" s="24"/>
      <c r="AI183" s="30"/>
      <c r="AJ183" s="30"/>
      <c r="AK183" s="30"/>
      <c r="AL183" s="24"/>
      <c r="AM183" s="24"/>
    </row>
    <row r="184" ht="15.75" customHeight="1">
      <c r="B184" s="18"/>
      <c r="C184" s="18"/>
      <c r="D184" s="18"/>
      <c r="E184" s="18"/>
      <c r="F184" s="18"/>
      <c r="G184" s="19"/>
      <c r="H184" s="27"/>
      <c r="I184" s="27"/>
      <c r="J184" s="27"/>
      <c r="K184" s="27"/>
      <c r="L184" s="27"/>
      <c r="M184" s="21"/>
      <c r="N184" s="27"/>
      <c r="O184" s="27"/>
      <c r="P184" s="27"/>
      <c r="Q184" s="27"/>
      <c r="R184" s="27"/>
      <c r="S184" s="21"/>
      <c r="T184" s="28"/>
      <c r="U184" s="28"/>
      <c r="V184" s="28"/>
      <c r="W184" s="28"/>
      <c r="X184" s="28"/>
      <c r="Y184" s="19"/>
      <c r="Z184" s="18"/>
      <c r="AE184" s="19"/>
      <c r="AH184" s="24"/>
      <c r="AI184" s="30"/>
      <c r="AJ184" s="30"/>
      <c r="AK184" s="30"/>
      <c r="AL184" s="24"/>
      <c r="AM184" s="24"/>
    </row>
    <row r="185" ht="15.75" customHeight="1">
      <c r="B185" s="18"/>
      <c r="C185" s="18"/>
      <c r="D185" s="18"/>
      <c r="E185" s="18"/>
      <c r="F185" s="18"/>
      <c r="G185" s="19"/>
      <c r="H185" s="27"/>
      <c r="I185" s="27"/>
      <c r="J185" s="27"/>
      <c r="K185" s="27"/>
      <c r="L185" s="27"/>
      <c r="M185" s="21"/>
      <c r="N185" s="27"/>
      <c r="O185" s="27"/>
      <c r="P185" s="27"/>
      <c r="Q185" s="27"/>
      <c r="R185" s="27"/>
      <c r="S185" s="21"/>
      <c r="T185" s="28"/>
      <c r="U185" s="28"/>
      <c r="V185" s="28"/>
      <c r="W185" s="28"/>
      <c r="X185" s="28"/>
      <c r="Y185" s="19"/>
      <c r="Z185" s="18"/>
      <c r="AE185" s="19"/>
      <c r="AH185" s="24"/>
      <c r="AI185" s="30"/>
      <c r="AJ185" s="30"/>
      <c r="AK185" s="30"/>
      <c r="AL185" s="24"/>
      <c r="AM185" s="24"/>
    </row>
    <row r="186" ht="15.75" customHeight="1">
      <c r="B186" s="18"/>
      <c r="C186" s="18"/>
      <c r="D186" s="18"/>
      <c r="E186" s="18"/>
      <c r="F186" s="18"/>
      <c r="G186" s="19"/>
      <c r="H186" s="27"/>
      <c r="I186" s="27"/>
      <c r="J186" s="27"/>
      <c r="K186" s="27"/>
      <c r="L186" s="27"/>
      <c r="M186" s="21"/>
      <c r="N186" s="27"/>
      <c r="O186" s="27"/>
      <c r="P186" s="27"/>
      <c r="Q186" s="27"/>
      <c r="R186" s="27"/>
      <c r="S186" s="21"/>
      <c r="T186" s="28"/>
      <c r="U186" s="28"/>
      <c r="V186" s="28"/>
      <c r="W186" s="28"/>
      <c r="X186" s="28"/>
      <c r="Y186" s="19"/>
      <c r="Z186" s="18"/>
      <c r="AE186" s="19"/>
      <c r="AH186" s="24"/>
      <c r="AI186" s="30"/>
      <c r="AJ186" s="30"/>
      <c r="AK186" s="30"/>
      <c r="AL186" s="24"/>
      <c r="AM186" s="24"/>
    </row>
    <row r="187" ht="15.75" customHeight="1">
      <c r="B187" s="18"/>
      <c r="C187" s="18"/>
      <c r="D187" s="18"/>
      <c r="E187" s="18"/>
      <c r="F187" s="18"/>
      <c r="G187" s="19"/>
      <c r="H187" s="27"/>
      <c r="I187" s="27"/>
      <c r="J187" s="27"/>
      <c r="K187" s="27"/>
      <c r="L187" s="27"/>
      <c r="M187" s="21"/>
      <c r="N187" s="27"/>
      <c r="O187" s="27"/>
      <c r="P187" s="27"/>
      <c r="Q187" s="27"/>
      <c r="R187" s="27"/>
      <c r="S187" s="21"/>
      <c r="T187" s="28"/>
      <c r="U187" s="28"/>
      <c r="V187" s="28"/>
      <c r="W187" s="28"/>
      <c r="X187" s="28"/>
      <c r="Y187" s="19"/>
      <c r="Z187" s="18"/>
      <c r="AE187" s="19"/>
      <c r="AH187" s="24"/>
      <c r="AI187" s="30"/>
      <c r="AJ187" s="30"/>
      <c r="AK187" s="30"/>
      <c r="AL187" s="24"/>
      <c r="AM187" s="24"/>
    </row>
    <row r="188" ht="15.75" customHeight="1">
      <c r="B188" s="18"/>
      <c r="C188" s="18"/>
      <c r="D188" s="18"/>
      <c r="E188" s="18"/>
      <c r="F188" s="18"/>
      <c r="G188" s="19"/>
      <c r="H188" s="27"/>
      <c r="I188" s="27"/>
      <c r="J188" s="27"/>
      <c r="K188" s="27"/>
      <c r="L188" s="27"/>
      <c r="M188" s="21"/>
      <c r="N188" s="27"/>
      <c r="O188" s="27"/>
      <c r="P188" s="27"/>
      <c r="Q188" s="27"/>
      <c r="R188" s="27"/>
      <c r="S188" s="21"/>
      <c r="T188" s="28"/>
      <c r="U188" s="28"/>
      <c r="V188" s="28"/>
      <c r="W188" s="28"/>
      <c r="X188" s="28"/>
      <c r="Y188" s="19"/>
      <c r="Z188" s="18"/>
      <c r="AE188" s="19"/>
      <c r="AH188" s="24"/>
      <c r="AI188" s="30"/>
      <c r="AJ188" s="30"/>
      <c r="AK188" s="30"/>
      <c r="AL188" s="24"/>
      <c r="AM188" s="24"/>
    </row>
    <row r="189" ht="15.75" customHeight="1">
      <c r="B189" s="18"/>
      <c r="C189" s="18"/>
      <c r="D189" s="18"/>
      <c r="E189" s="18"/>
      <c r="F189" s="18"/>
      <c r="G189" s="19"/>
      <c r="H189" s="27"/>
      <c r="I189" s="27"/>
      <c r="J189" s="27"/>
      <c r="K189" s="27"/>
      <c r="L189" s="27"/>
      <c r="M189" s="21"/>
      <c r="N189" s="27"/>
      <c r="O189" s="27"/>
      <c r="P189" s="27"/>
      <c r="Q189" s="27"/>
      <c r="R189" s="27"/>
      <c r="S189" s="21"/>
      <c r="T189" s="28"/>
      <c r="U189" s="28"/>
      <c r="V189" s="28"/>
      <c r="W189" s="28"/>
      <c r="X189" s="28"/>
      <c r="Y189" s="19"/>
      <c r="Z189" s="18"/>
      <c r="AE189" s="19"/>
      <c r="AH189" s="24"/>
      <c r="AI189" s="30"/>
      <c r="AJ189" s="30"/>
      <c r="AK189" s="30"/>
      <c r="AL189" s="24"/>
      <c r="AM189" s="24"/>
    </row>
    <row r="190" ht="15.75" customHeight="1">
      <c r="B190" s="18"/>
      <c r="C190" s="18"/>
      <c r="D190" s="18"/>
      <c r="E190" s="18"/>
      <c r="F190" s="18"/>
      <c r="G190" s="19"/>
      <c r="H190" s="27"/>
      <c r="I190" s="27"/>
      <c r="J190" s="27"/>
      <c r="K190" s="27"/>
      <c r="L190" s="27"/>
      <c r="M190" s="21"/>
      <c r="N190" s="27"/>
      <c r="O190" s="27"/>
      <c r="P190" s="27"/>
      <c r="Q190" s="27"/>
      <c r="R190" s="27"/>
      <c r="S190" s="21"/>
      <c r="T190" s="28"/>
      <c r="U190" s="28"/>
      <c r="V190" s="28"/>
      <c r="W190" s="28"/>
      <c r="X190" s="28"/>
      <c r="Y190" s="19"/>
      <c r="Z190" s="18"/>
      <c r="AE190" s="19"/>
      <c r="AH190" s="24"/>
      <c r="AI190" s="30"/>
      <c r="AJ190" s="30"/>
      <c r="AK190" s="30"/>
      <c r="AL190" s="24"/>
      <c r="AM190" s="24"/>
    </row>
    <row r="191" ht="15.75" customHeight="1">
      <c r="B191" s="18"/>
      <c r="C191" s="18"/>
      <c r="D191" s="18"/>
      <c r="E191" s="18"/>
      <c r="F191" s="18"/>
      <c r="G191" s="19"/>
      <c r="H191" s="27"/>
      <c r="I191" s="27"/>
      <c r="J191" s="27"/>
      <c r="K191" s="27"/>
      <c r="L191" s="27"/>
      <c r="M191" s="21"/>
      <c r="N191" s="27"/>
      <c r="O191" s="27"/>
      <c r="P191" s="27"/>
      <c r="Q191" s="27"/>
      <c r="R191" s="27"/>
      <c r="S191" s="21"/>
      <c r="T191" s="28"/>
      <c r="U191" s="28"/>
      <c r="V191" s="28"/>
      <c r="W191" s="28"/>
      <c r="X191" s="28"/>
      <c r="Y191" s="19"/>
      <c r="Z191" s="18"/>
      <c r="AE191" s="19"/>
      <c r="AH191" s="24"/>
      <c r="AI191" s="30"/>
      <c r="AJ191" s="30"/>
      <c r="AK191" s="30"/>
      <c r="AL191" s="24"/>
      <c r="AM191" s="24"/>
    </row>
    <row r="192" ht="15.75" customHeight="1">
      <c r="B192" s="18"/>
      <c r="C192" s="18"/>
      <c r="D192" s="18"/>
      <c r="E192" s="18"/>
      <c r="F192" s="18"/>
      <c r="G192" s="19"/>
      <c r="H192" s="27"/>
      <c r="I192" s="27"/>
      <c r="J192" s="27"/>
      <c r="K192" s="27"/>
      <c r="L192" s="27"/>
      <c r="M192" s="21"/>
      <c r="N192" s="27"/>
      <c r="O192" s="27"/>
      <c r="P192" s="27"/>
      <c r="Q192" s="27"/>
      <c r="R192" s="27"/>
      <c r="S192" s="21"/>
      <c r="T192" s="28"/>
      <c r="U192" s="28"/>
      <c r="V192" s="28"/>
      <c r="W192" s="28"/>
      <c r="X192" s="28"/>
      <c r="Y192" s="19"/>
      <c r="Z192" s="18"/>
      <c r="AE192" s="19"/>
      <c r="AH192" s="24"/>
      <c r="AI192" s="30"/>
      <c r="AJ192" s="30"/>
      <c r="AK192" s="30"/>
      <c r="AL192" s="24"/>
      <c r="AM192" s="24"/>
    </row>
    <row r="193" ht="15.75" customHeight="1">
      <c r="B193" s="18"/>
      <c r="C193" s="18"/>
      <c r="D193" s="18"/>
      <c r="E193" s="18"/>
      <c r="F193" s="18"/>
      <c r="G193" s="19"/>
      <c r="H193" s="27"/>
      <c r="I193" s="27"/>
      <c r="J193" s="27"/>
      <c r="K193" s="27"/>
      <c r="L193" s="27"/>
      <c r="M193" s="21"/>
      <c r="N193" s="27"/>
      <c r="O193" s="27"/>
      <c r="P193" s="27"/>
      <c r="Q193" s="27"/>
      <c r="R193" s="27"/>
      <c r="S193" s="21"/>
      <c r="T193" s="28"/>
      <c r="U193" s="28"/>
      <c r="V193" s="28"/>
      <c r="W193" s="28"/>
      <c r="X193" s="28"/>
      <c r="Y193" s="19"/>
      <c r="Z193" s="18"/>
      <c r="AE193" s="19"/>
      <c r="AH193" s="24"/>
      <c r="AI193" s="30"/>
      <c r="AJ193" s="30"/>
      <c r="AK193" s="30"/>
      <c r="AL193" s="24"/>
      <c r="AM193" s="24"/>
    </row>
    <row r="194" ht="15.75" customHeight="1">
      <c r="B194" s="18"/>
      <c r="C194" s="18"/>
      <c r="D194" s="18"/>
      <c r="E194" s="18"/>
      <c r="F194" s="18"/>
      <c r="G194" s="19"/>
      <c r="H194" s="27"/>
      <c r="I194" s="27"/>
      <c r="J194" s="27"/>
      <c r="K194" s="27"/>
      <c r="L194" s="27"/>
      <c r="M194" s="21"/>
      <c r="N194" s="27"/>
      <c r="O194" s="27"/>
      <c r="P194" s="27"/>
      <c r="Q194" s="27"/>
      <c r="R194" s="27"/>
      <c r="S194" s="21"/>
      <c r="T194" s="28"/>
      <c r="U194" s="28"/>
      <c r="V194" s="28"/>
      <c r="W194" s="28"/>
      <c r="X194" s="28"/>
      <c r="Y194" s="19"/>
      <c r="Z194" s="18"/>
      <c r="AE194" s="19"/>
      <c r="AH194" s="24"/>
      <c r="AI194" s="30"/>
      <c r="AJ194" s="30"/>
      <c r="AK194" s="30"/>
      <c r="AL194" s="24"/>
      <c r="AM194" s="24"/>
    </row>
    <row r="195" ht="15.75" customHeight="1">
      <c r="B195" s="18"/>
      <c r="C195" s="18"/>
      <c r="D195" s="18"/>
      <c r="E195" s="18"/>
      <c r="F195" s="18"/>
      <c r="G195" s="19"/>
      <c r="H195" s="27"/>
      <c r="I195" s="27"/>
      <c r="J195" s="27"/>
      <c r="K195" s="27"/>
      <c r="L195" s="27"/>
      <c r="M195" s="21"/>
      <c r="N195" s="27"/>
      <c r="O195" s="27"/>
      <c r="P195" s="27"/>
      <c r="Q195" s="27"/>
      <c r="R195" s="27"/>
      <c r="S195" s="21"/>
      <c r="T195" s="28"/>
      <c r="U195" s="28"/>
      <c r="V195" s="28"/>
      <c r="W195" s="28"/>
      <c r="X195" s="28"/>
      <c r="Y195" s="19"/>
      <c r="Z195" s="18"/>
      <c r="AE195" s="19"/>
      <c r="AH195" s="24"/>
      <c r="AI195" s="30"/>
      <c r="AJ195" s="30"/>
      <c r="AK195" s="30"/>
      <c r="AL195" s="24"/>
      <c r="AM195" s="24"/>
    </row>
    <row r="196" ht="15.75" customHeight="1">
      <c r="B196" s="18"/>
      <c r="C196" s="18"/>
      <c r="D196" s="18"/>
      <c r="E196" s="18"/>
      <c r="F196" s="18"/>
      <c r="G196" s="19"/>
      <c r="H196" s="27"/>
      <c r="I196" s="27"/>
      <c r="J196" s="27"/>
      <c r="K196" s="27"/>
      <c r="L196" s="27"/>
      <c r="M196" s="21"/>
      <c r="N196" s="27"/>
      <c r="O196" s="27"/>
      <c r="P196" s="27"/>
      <c r="Q196" s="27"/>
      <c r="R196" s="27"/>
      <c r="S196" s="21"/>
      <c r="T196" s="28"/>
      <c r="U196" s="28"/>
      <c r="V196" s="28"/>
      <c r="W196" s="28"/>
      <c r="X196" s="28"/>
      <c r="Y196" s="19"/>
      <c r="Z196" s="18"/>
      <c r="AE196" s="19"/>
      <c r="AH196" s="24"/>
      <c r="AI196" s="30"/>
      <c r="AJ196" s="30"/>
      <c r="AK196" s="30"/>
      <c r="AL196" s="24"/>
      <c r="AM196" s="24"/>
    </row>
    <row r="197" ht="15.75" customHeight="1">
      <c r="B197" s="18"/>
      <c r="C197" s="18"/>
      <c r="D197" s="18"/>
      <c r="E197" s="18"/>
      <c r="F197" s="18"/>
      <c r="G197" s="19"/>
      <c r="H197" s="27"/>
      <c r="I197" s="27"/>
      <c r="J197" s="27"/>
      <c r="K197" s="27"/>
      <c r="L197" s="27"/>
      <c r="M197" s="21"/>
      <c r="N197" s="27"/>
      <c r="O197" s="27"/>
      <c r="P197" s="27"/>
      <c r="Q197" s="27"/>
      <c r="R197" s="27"/>
      <c r="S197" s="21"/>
      <c r="T197" s="28"/>
      <c r="U197" s="28"/>
      <c r="V197" s="28"/>
      <c r="W197" s="28"/>
      <c r="X197" s="28"/>
      <c r="Y197" s="19"/>
      <c r="Z197" s="18"/>
      <c r="AE197" s="19"/>
      <c r="AH197" s="24"/>
      <c r="AI197" s="30"/>
      <c r="AJ197" s="30"/>
      <c r="AK197" s="30"/>
      <c r="AL197" s="24"/>
      <c r="AM197" s="24"/>
    </row>
    <row r="198" ht="15.75" customHeight="1">
      <c r="B198" s="18"/>
      <c r="C198" s="18"/>
      <c r="D198" s="18"/>
      <c r="E198" s="18"/>
      <c r="F198" s="18"/>
      <c r="G198" s="19"/>
      <c r="H198" s="27"/>
      <c r="I198" s="27"/>
      <c r="J198" s="27"/>
      <c r="K198" s="27"/>
      <c r="L198" s="27"/>
      <c r="M198" s="21"/>
      <c r="N198" s="27"/>
      <c r="O198" s="27"/>
      <c r="P198" s="27"/>
      <c r="Q198" s="27"/>
      <c r="R198" s="27"/>
      <c r="S198" s="21"/>
      <c r="T198" s="28"/>
      <c r="U198" s="28"/>
      <c r="V198" s="28"/>
      <c r="W198" s="28"/>
      <c r="X198" s="28"/>
      <c r="Y198" s="19"/>
      <c r="Z198" s="18"/>
      <c r="AE198" s="19"/>
      <c r="AH198" s="24"/>
      <c r="AI198" s="30"/>
      <c r="AJ198" s="30"/>
      <c r="AK198" s="30"/>
      <c r="AL198" s="24"/>
      <c r="AM198" s="24"/>
    </row>
    <row r="199" ht="15.75" customHeight="1">
      <c r="B199" s="18"/>
      <c r="C199" s="18"/>
      <c r="D199" s="18"/>
      <c r="E199" s="18"/>
      <c r="F199" s="18"/>
      <c r="G199" s="19"/>
      <c r="H199" s="27"/>
      <c r="I199" s="27"/>
      <c r="J199" s="27"/>
      <c r="K199" s="27"/>
      <c r="L199" s="27"/>
      <c r="M199" s="21"/>
      <c r="N199" s="27"/>
      <c r="O199" s="27"/>
      <c r="P199" s="27"/>
      <c r="Q199" s="27"/>
      <c r="R199" s="27"/>
      <c r="S199" s="21"/>
      <c r="T199" s="28"/>
      <c r="U199" s="28"/>
      <c r="V199" s="28"/>
      <c r="W199" s="28"/>
      <c r="X199" s="28"/>
      <c r="Y199" s="19"/>
      <c r="Z199" s="18"/>
      <c r="AE199" s="19"/>
      <c r="AH199" s="24"/>
      <c r="AI199" s="30"/>
      <c r="AJ199" s="30"/>
      <c r="AK199" s="30"/>
      <c r="AL199" s="24"/>
      <c r="AM199" s="24"/>
    </row>
    <row r="200" ht="15.75" customHeight="1">
      <c r="B200" s="18"/>
      <c r="C200" s="18"/>
      <c r="D200" s="18"/>
      <c r="E200" s="18"/>
      <c r="F200" s="18"/>
      <c r="G200" s="19"/>
      <c r="H200" s="27"/>
      <c r="I200" s="27"/>
      <c r="J200" s="27"/>
      <c r="K200" s="27"/>
      <c r="L200" s="27"/>
      <c r="M200" s="21"/>
      <c r="N200" s="27"/>
      <c r="O200" s="27"/>
      <c r="P200" s="27"/>
      <c r="Q200" s="27"/>
      <c r="R200" s="27"/>
      <c r="S200" s="21"/>
      <c r="T200" s="28"/>
      <c r="U200" s="28"/>
      <c r="V200" s="28"/>
      <c r="W200" s="28"/>
      <c r="X200" s="28"/>
      <c r="Y200" s="19"/>
      <c r="Z200" s="18"/>
      <c r="AE200" s="19"/>
      <c r="AH200" s="24"/>
      <c r="AI200" s="30"/>
      <c r="AJ200" s="30"/>
      <c r="AK200" s="30"/>
      <c r="AL200" s="24"/>
      <c r="AM200" s="24"/>
    </row>
    <row r="201" ht="15.75" customHeight="1">
      <c r="B201" s="18"/>
      <c r="C201" s="18"/>
      <c r="D201" s="18"/>
      <c r="E201" s="18"/>
      <c r="F201" s="18"/>
      <c r="G201" s="19"/>
      <c r="H201" s="27"/>
      <c r="I201" s="27"/>
      <c r="J201" s="27"/>
      <c r="K201" s="27"/>
      <c r="L201" s="27"/>
      <c r="M201" s="21"/>
      <c r="N201" s="27"/>
      <c r="O201" s="27"/>
      <c r="P201" s="27"/>
      <c r="Q201" s="27"/>
      <c r="R201" s="27"/>
      <c r="S201" s="21"/>
      <c r="T201" s="28"/>
      <c r="U201" s="28"/>
      <c r="V201" s="28"/>
      <c r="W201" s="28"/>
      <c r="X201" s="28"/>
      <c r="Y201" s="19"/>
      <c r="Z201" s="18"/>
      <c r="AE201" s="19"/>
      <c r="AH201" s="24"/>
      <c r="AI201" s="30"/>
      <c r="AJ201" s="30"/>
      <c r="AK201" s="30"/>
      <c r="AL201" s="24"/>
      <c r="AM201" s="24"/>
    </row>
    <row r="202" ht="15.75" customHeight="1">
      <c r="B202" s="18"/>
      <c r="C202" s="18"/>
      <c r="D202" s="18"/>
      <c r="E202" s="18"/>
      <c r="F202" s="18"/>
      <c r="G202" s="19"/>
      <c r="H202" s="27"/>
      <c r="I202" s="27"/>
      <c r="J202" s="27"/>
      <c r="K202" s="27"/>
      <c r="L202" s="27"/>
      <c r="M202" s="21"/>
      <c r="N202" s="27"/>
      <c r="O202" s="27"/>
      <c r="P202" s="27"/>
      <c r="Q202" s="27"/>
      <c r="R202" s="27"/>
      <c r="S202" s="21"/>
      <c r="T202" s="28"/>
      <c r="U202" s="28"/>
      <c r="V202" s="28"/>
      <c r="W202" s="28"/>
      <c r="X202" s="28"/>
      <c r="Y202" s="19"/>
      <c r="Z202" s="18"/>
      <c r="AE202" s="19"/>
      <c r="AH202" s="24"/>
      <c r="AI202" s="30"/>
      <c r="AJ202" s="30"/>
      <c r="AK202" s="30"/>
      <c r="AL202" s="24"/>
      <c r="AM202" s="24"/>
    </row>
    <row r="203" ht="15.75" customHeight="1">
      <c r="B203" s="18"/>
      <c r="C203" s="18"/>
      <c r="D203" s="18"/>
      <c r="E203" s="18"/>
      <c r="F203" s="18"/>
      <c r="G203" s="19"/>
      <c r="H203" s="27"/>
      <c r="I203" s="27"/>
      <c r="J203" s="27"/>
      <c r="K203" s="27"/>
      <c r="L203" s="27"/>
      <c r="M203" s="21"/>
      <c r="N203" s="27"/>
      <c r="O203" s="27"/>
      <c r="P203" s="27"/>
      <c r="Q203" s="27"/>
      <c r="R203" s="27"/>
      <c r="S203" s="21"/>
      <c r="T203" s="28"/>
      <c r="U203" s="28"/>
      <c r="V203" s="28"/>
      <c r="W203" s="28"/>
      <c r="X203" s="28"/>
      <c r="Y203" s="19"/>
      <c r="Z203" s="18"/>
      <c r="AE203" s="19"/>
      <c r="AH203" s="24"/>
      <c r="AI203" s="30"/>
      <c r="AJ203" s="30"/>
      <c r="AK203" s="30"/>
      <c r="AL203" s="24"/>
      <c r="AM203" s="24"/>
    </row>
    <row r="204" ht="15.75" customHeight="1">
      <c r="B204" s="18"/>
      <c r="C204" s="18"/>
      <c r="D204" s="18"/>
      <c r="E204" s="18"/>
      <c r="F204" s="18"/>
      <c r="G204" s="19"/>
      <c r="H204" s="27"/>
      <c r="I204" s="27"/>
      <c r="J204" s="27"/>
      <c r="K204" s="27"/>
      <c r="L204" s="27"/>
      <c r="M204" s="21"/>
      <c r="N204" s="27"/>
      <c r="O204" s="27"/>
      <c r="P204" s="27"/>
      <c r="Q204" s="27"/>
      <c r="R204" s="27"/>
      <c r="S204" s="21"/>
      <c r="T204" s="28"/>
      <c r="U204" s="28"/>
      <c r="V204" s="28"/>
      <c r="W204" s="28"/>
      <c r="X204" s="28"/>
      <c r="Y204" s="19"/>
      <c r="Z204" s="18"/>
      <c r="AE204" s="19"/>
      <c r="AH204" s="24"/>
      <c r="AI204" s="30"/>
      <c r="AJ204" s="30"/>
      <c r="AK204" s="30"/>
      <c r="AL204" s="24"/>
      <c r="AM204" s="24"/>
    </row>
    <row r="205" ht="15.75" customHeight="1">
      <c r="B205" s="18"/>
      <c r="C205" s="18"/>
      <c r="D205" s="18"/>
      <c r="E205" s="18"/>
      <c r="F205" s="18"/>
      <c r="G205" s="19"/>
      <c r="H205" s="27"/>
      <c r="I205" s="27"/>
      <c r="J205" s="27"/>
      <c r="K205" s="27"/>
      <c r="L205" s="27"/>
      <c r="M205" s="21"/>
      <c r="N205" s="27"/>
      <c r="O205" s="27"/>
      <c r="P205" s="27"/>
      <c r="Q205" s="27"/>
      <c r="R205" s="27"/>
      <c r="S205" s="21"/>
      <c r="T205" s="28"/>
      <c r="U205" s="28"/>
      <c r="V205" s="28"/>
      <c r="W205" s="28"/>
      <c r="X205" s="28"/>
      <c r="Y205" s="19"/>
      <c r="Z205" s="18"/>
      <c r="AE205" s="19"/>
      <c r="AH205" s="24"/>
      <c r="AI205" s="30"/>
      <c r="AJ205" s="30"/>
      <c r="AK205" s="30"/>
      <c r="AL205" s="24"/>
      <c r="AM205" s="24"/>
    </row>
    <row r="206" ht="15.75" customHeight="1">
      <c r="B206" s="18"/>
      <c r="C206" s="18"/>
      <c r="D206" s="18"/>
      <c r="E206" s="18"/>
      <c r="F206" s="18"/>
      <c r="G206" s="19"/>
      <c r="H206" s="27"/>
      <c r="I206" s="27"/>
      <c r="J206" s="27"/>
      <c r="K206" s="27"/>
      <c r="L206" s="27"/>
      <c r="M206" s="21"/>
      <c r="N206" s="27"/>
      <c r="O206" s="27"/>
      <c r="P206" s="27"/>
      <c r="Q206" s="27"/>
      <c r="R206" s="27"/>
      <c r="S206" s="21"/>
      <c r="T206" s="28"/>
      <c r="U206" s="28"/>
      <c r="V206" s="28"/>
      <c r="W206" s="28"/>
      <c r="X206" s="28"/>
      <c r="Y206" s="19"/>
      <c r="Z206" s="18"/>
      <c r="AE206" s="19"/>
      <c r="AH206" s="24"/>
      <c r="AI206" s="30"/>
      <c r="AJ206" s="30"/>
      <c r="AK206" s="30"/>
      <c r="AL206" s="24"/>
      <c r="AM206" s="24"/>
    </row>
    <row r="207" ht="15.75" customHeight="1">
      <c r="B207" s="18"/>
      <c r="C207" s="18"/>
      <c r="D207" s="18"/>
      <c r="E207" s="18"/>
      <c r="F207" s="18"/>
      <c r="G207" s="19"/>
      <c r="H207" s="27"/>
      <c r="I207" s="27"/>
      <c r="J207" s="27"/>
      <c r="K207" s="27"/>
      <c r="L207" s="27"/>
      <c r="M207" s="21"/>
      <c r="N207" s="27"/>
      <c r="O207" s="27"/>
      <c r="P207" s="27"/>
      <c r="Q207" s="27"/>
      <c r="R207" s="27"/>
      <c r="S207" s="21"/>
      <c r="T207" s="28"/>
      <c r="U207" s="28"/>
      <c r="V207" s="28"/>
      <c r="W207" s="28"/>
      <c r="X207" s="28"/>
      <c r="Y207" s="19"/>
      <c r="Z207" s="18"/>
      <c r="AE207" s="19"/>
      <c r="AH207" s="24"/>
      <c r="AI207" s="30"/>
      <c r="AJ207" s="30"/>
      <c r="AK207" s="30"/>
      <c r="AL207" s="24"/>
      <c r="AM207" s="24"/>
    </row>
    <row r="208" ht="15.75" customHeight="1">
      <c r="B208" s="18"/>
      <c r="C208" s="18"/>
      <c r="D208" s="18"/>
      <c r="E208" s="18"/>
      <c r="F208" s="18"/>
      <c r="G208" s="19"/>
      <c r="H208" s="27"/>
      <c r="I208" s="27"/>
      <c r="J208" s="27"/>
      <c r="K208" s="27"/>
      <c r="L208" s="27"/>
      <c r="M208" s="21"/>
      <c r="N208" s="27"/>
      <c r="O208" s="27"/>
      <c r="P208" s="27"/>
      <c r="Q208" s="27"/>
      <c r="R208" s="27"/>
      <c r="S208" s="21"/>
      <c r="T208" s="28"/>
      <c r="U208" s="28"/>
      <c r="V208" s="28"/>
      <c r="W208" s="28"/>
      <c r="X208" s="28"/>
      <c r="Y208" s="19"/>
      <c r="Z208" s="18"/>
      <c r="AE208" s="19"/>
      <c r="AH208" s="24"/>
      <c r="AI208" s="30"/>
      <c r="AJ208" s="30"/>
      <c r="AK208" s="30"/>
      <c r="AL208" s="24"/>
      <c r="AM208" s="24"/>
    </row>
    <row r="209" ht="15.75" customHeight="1">
      <c r="B209" s="18"/>
      <c r="C209" s="18"/>
      <c r="D209" s="18"/>
      <c r="E209" s="18"/>
      <c r="F209" s="18"/>
      <c r="G209" s="19"/>
      <c r="H209" s="27"/>
      <c r="I209" s="27"/>
      <c r="J209" s="27"/>
      <c r="K209" s="27"/>
      <c r="L209" s="27"/>
      <c r="M209" s="21"/>
      <c r="N209" s="27"/>
      <c r="O209" s="27"/>
      <c r="P209" s="27"/>
      <c r="Q209" s="27"/>
      <c r="R209" s="27"/>
      <c r="S209" s="21"/>
      <c r="T209" s="28"/>
      <c r="U209" s="28"/>
      <c r="V209" s="28"/>
      <c r="W209" s="28"/>
      <c r="X209" s="28"/>
      <c r="Y209" s="19"/>
      <c r="Z209" s="18"/>
      <c r="AE209" s="19"/>
      <c r="AH209" s="24"/>
      <c r="AI209" s="30"/>
      <c r="AJ209" s="30"/>
      <c r="AK209" s="30"/>
      <c r="AL209" s="24"/>
      <c r="AM209" s="24"/>
    </row>
    <row r="210" ht="15.75" customHeight="1">
      <c r="B210" s="18"/>
      <c r="C210" s="18"/>
      <c r="D210" s="18"/>
      <c r="E210" s="18"/>
      <c r="F210" s="18"/>
      <c r="G210" s="19"/>
      <c r="H210" s="27"/>
      <c r="I210" s="27"/>
      <c r="J210" s="27"/>
      <c r="K210" s="27"/>
      <c r="L210" s="27"/>
      <c r="M210" s="21"/>
      <c r="N210" s="27"/>
      <c r="O210" s="27"/>
      <c r="P210" s="27"/>
      <c r="Q210" s="27"/>
      <c r="R210" s="27"/>
      <c r="S210" s="21"/>
      <c r="T210" s="28"/>
      <c r="U210" s="28"/>
      <c r="V210" s="28"/>
      <c r="W210" s="28"/>
      <c r="X210" s="28"/>
      <c r="Y210" s="19"/>
      <c r="Z210" s="18"/>
      <c r="AE210" s="19"/>
      <c r="AH210" s="24"/>
      <c r="AI210" s="30"/>
      <c r="AJ210" s="30"/>
      <c r="AK210" s="30"/>
      <c r="AL210" s="24"/>
      <c r="AM210" s="24"/>
    </row>
    <row r="211" ht="15.75" customHeight="1">
      <c r="B211" s="18"/>
      <c r="C211" s="18"/>
      <c r="D211" s="18"/>
      <c r="E211" s="18"/>
      <c r="F211" s="18"/>
      <c r="G211" s="19"/>
      <c r="H211" s="27"/>
      <c r="I211" s="27"/>
      <c r="J211" s="27"/>
      <c r="K211" s="27"/>
      <c r="L211" s="27"/>
      <c r="M211" s="21"/>
      <c r="N211" s="27"/>
      <c r="O211" s="27"/>
      <c r="P211" s="27"/>
      <c r="Q211" s="27"/>
      <c r="R211" s="27"/>
      <c r="S211" s="21"/>
      <c r="T211" s="28"/>
      <c r="U211" s="28"/>
      <c r="V211" s="28"/>
      <c r="W211" s="28"/>
      <c r="X211" s="28"/>
      <c r="Y211" s="19"/>
      <c r="Z211" s="18"/>
      <c r="AE211" s="19"/>
      <c r="AH211" s="24"/>
      <c r="AI211" s="30"/>
      <c r="AJ211" s="30"/>
      <c r="AK211" s="30"/>
      <c r="AL211" s="24"/>
      <c r="AM211" s="24"/>
    </row>
    <row r="212" ht="15.75" customHeight="1">
      <c r="B212" s="18"/>
      <c r="C212" s="18"/>
      <c r="D212" s="18"/>
      <c r="E212" s="18"/>
      <c r="F212" s="18"/>
      <c r="G212" s="19"/>
      <c r="H212" s="27"/>
      <c r="I212" s="27"/>
      <c r="J212" s="27"/>
      <c r="K212" s="27"/>
      <c r="L212" s="27"/>
      <c r="M212" s="21"/>
      <c r="N212" s="27"/>
      <c r="O212" s="27"/>
      <c r="P212" s="27"/>
      <c r="Q212" s="27"/>
      <c r="R212" s="27"/>
      <c r="S212" s="21"/>
      <c r="T212" s="28"/>
      <c r="U212" s="28"/>
      <c r="V212" s="28"/>
      <c r="W212" s="28"/>
      <c r="X212" s="28"/>
      <c r="Y212" s="19"/>
      <c r="Z212" s="18"/>
      <c r="AE212" s="19"/>
      <c r="AH212" s="24"/>
      <c r="AI212" s="30"/>
      <c r="AJ212" s="30"/>
      <c r="AK212" s="30"/>
      <c r="AL212" s="24"/>
      <c r="AM212" s="24"/>
    </row>
    <row r="213" ht="15.75" customHeight="1">
      <c r="B213" s="18"/>
      <c r="C213" s="18"/>
      <c r="D213" s="18"/>
      <c r="E213" s="18"/>
      <c r="F213" s="18"/>
      <c r="G213" s="19"/>
      <c r="H213" s="27"/>
      <c r="I213" s="27"/>
      <c r="J213" s="27"/>
      <c r="K213" s="27"/>
      <c r="L213" s="27"/>
      <c r="M213" s="21"/>
      <c r="N213" s="27"/>
      <c r="O213" s="27"/>
      <c r="P213" s="27"/>
      <c r="Q213" s="27"/>
      <c r="R213" s="27"/>
      <c r="S213" s="21"/>
      <c r="T213" s="28"/>
      <c r="U213" s="28"/>
      <c r="V213" s="28"/>
      <c r="W213" s="28"/>
      <c r="X213" s="28"/>
      <c r="Y213" s="19"/>
      <c r="Z213" s="18"/>
      <c r="AE213" s="19"/>
      <c r="AH213" s="24"/>
      <c r="AI213" s="30"/>
      <c r="AJ213" s="30"/>
      <c r="AK213" s="30"/>
      <c r="AL213" s="24"/>
      <c r="AM213" s="24"/>
    </row>
    <row r="214" ht="15.75" customHeight="1">
      <c r="B214" s="18"/>
      <c r="C214" s="18"/>
      <c r="D214" s="18"/>
      <c r="E214" s="18"/>
      <c r="F214" s="18"/>
      <c r="G214" s="19"/>
      <c r="H214" s="27"/>
      <c r="I214" s="27"/>
      <c r="J214" s="27"/>
      <c r="K214" s="27"/>
      <c r="L214" s="27"/>
      <c r="M214" s="21"/>
      <c r="N214" s="27"/>
      <c r="O214" s="27"/>
      <c r="P214" s="27"/>
      <c r="Q214" s="27"/>
      <c r="R214" s="27"/>
      <c r="S214" s="21"/>
      <c r="T214" s="28"/>
      <c r="U214" s="28"/>
      <c r="V214" s="28"/>
      <c r="W214" s="28"/>
      <c r="X214" s="28"/>
      <c r="Y214" s="19"/>
      <c r="Z214" s="18"/>
      <c r="AE214" s="19"/>
      <c r="AH214" s="24"/>
      <c r="AI214" s="30"/>
      <c r="AJ214" s="30"/>
      <c r="AK214" s="30"/>
      <c r="AL214" s="24"/>
      <c r="AM214" s="24"/>
    </row>
    <row r="215" ht="15.75" customHeight="1">
      <c r="B215" s="18"/>
      <c r="C215" s="18"/>
      <c r="D215" s="18"/>
      <c r="E215" s="18"/>
      <c r="F215" s="18"/>
      <c r="G215" s="19"/>
      <c r="H215" s="27"/>
      <c r="I215" s="27"/>
      <c r="J215" s="27"/>
      <c r="K215" s="27"/>
      <c r="L215" s="27"/>
      <c r="M215" s="21"/>
      <c r="N215" s="27"/>
      <c r="O215" s="27"/>
      <c r="P215" s="27"/>
      <c r="Q215" s="27"/>
      <c r="R215" s="27"/>
      <c r="S215" s="21"/>
      <c r="T215" s="28"/>
      <c r="U215" s="28"/>
      <c r="V215" s="28"/>
      <c r="W215" s="28"/>
      <c r="X215" s="28"/>
      <c r="Y215" s="19"/>
      <c r="Z215" s="18"/>
      <c r="AE215" s="19"/>
      <c r="AH215" s="24"/>
      <c r="AI215" s="30"/>
      <c r="AJ215" s="30"/>
      <c r="AK215" s="30"/>
      <c r="AL215" s="24"/>
      <c r="AM215" s="24"/>
    </row>
    <row r="216" ht="15.75" customHeight="1">
      <c r="B216" s="18"/>
      <c r="C216" s="18"/>
      <c r="D216" s="18"/>
      <c r="E216" s="18"/>
      <c r="F216" s="18"/>
      <c r="G216" s="19"/>
      <c r="H216" s="27"/>
      <c r="I216" s="27"/>
      <c r="J216" s="27"/>
      <c r="K216" s="27"/>
      <c r="L216" s="27"/>
      <c r="M216" s="21"/>
      <c r="N216" s="27"/>
      <c r="O216" s="27"/>
      <c r="P216" s="27"/>
      <c r="Q216" s="27"/>
      <c r="R216" s="27"/>
      <c r="S216" s="21"/>
      <c r="T216" s="28"/>
      <c r="U216" s="28"/>
      <c r="V216" s="28"/>
      <c r="W216" s="28"/>
      <c r="X216" s="28"/>
      <c r="Y216" s="19"/>
      <c r="Z216" s="18"/>
      <c r="AE216" s="19"/>
      <c r="AH216" s="24"/>
      <c r="AI216" s="30"/>
      <c r="AJ216" s="30"/>
      <c r="AK216" s="30"/>
      <c r="AL216" s="24"/>
      <c r="AM216" s="24"/>
    </row>
    <row r="217" ht="15.75" customHeight="1">
      <c r="B217" s="18"/>
      <c r="C217" s="18"/>
      <c r="D217" s="18"/>
      <c r="E217" s="18"/>
      <c r="F217" s="18"/>
      <c r="G217" s="19"/>
      <c r="H217" s="27"/>
      <c r="I217" s="27"/>
      <c r="J217" s="27"/>
      <c r="K217" s="27"/>
      <c r="L217" s="27"/>
      <c r="M217" s="21"/>
      <c r="N217" s="27"/>
      <c r="O217" s="27"/>
      <c r="P217" s="27"/>
      <c r="Q217" s="27"/>
      <c r="R217" s="27"/>
      <c r="S217" s="21"/>
      <c r="T217" s="28"/>
      <c r="U217" s="28"/>
      <c r="V217" s="28"/>
      <c r="W217" s="28"/>
      <c r="X217" s="28"/>
      <c r="Y217" s="19"/>
      <c r="Z217" s="18"/>
      <c r="AE217" s="19"/>
      <c r="AH217" s="24"/>
      <c r="AI217" s="30"/>
      <c r="AJ217" s="30"/>
      <c r="AK217" s="30"/>
      <c r="AL217" s="24"/>
      <c r="AM217" s="24"/>
    </row>
    <row r="218" ht="15.75" customHeight="1">
      <c r="B218" s="18"/>
      <c r="C218" s="18"/>
      <c r="D218" s="18"/>
      <c r="E218" s="18"/>
      <c r="F218" s="18"/>
      <c r="G218" s="19"/>
      <c r="H218" s="27"/>
      <c r="I218" s="27"/>
      <c r="J218" s="27"/>
      <c r="K218" s="27"/>
      <c r="L218" s="27"/>
      <c r="M218" s="21"/>
      <c r="N218" s="27"/>
      <c r="O218" s="27"/>
      <c r="P218" s="27"/>
      <c r="Q218" s="27"/>
      <c r="R218" s="27"/>
      <c r="S218" s="21"/>
      <c r="T218" s="28"/>
      <c r="U218" s="28"/>
      <c r="V218" s="28"/>
      <c r="W218" s="28"/>
      <c r="X218" s="28"/>
      <c r="Y218" s="19"/>
      <c r="Z218" s="18"/>
      <c r="AE218" s="19"/>
      <c r="AH218" s="24"/>
      <c r="AI218" s="30"/>
      <c r="AJ218" s="30"/>
      <c r="AK218" s="30"/>
      <c r="AL218" s="24"/>
      <c r="AM218" s="24"/>
    </row>
    <row r="219" ht="15.75" customHeight="1">
      <c r="B219" s="18"/>
      <c r="C219" s="18"/>
      <c r="D219" s="18"/>
      <c r="E219" s="18"/>
      <c r="F219" s="18"/>
      <c r="G219" s="19"/>
      <c r="H219" s="27"/>
      <c r="I219" s="27"/>
      <c r="J219" s="27"/>
      <c r="K219" s="27"/>
      <c r="L219" s="27"/>
      <c r="M219" s="21"/>
      <c r="N219" s="27"/>
      <c r="O219" s="27"/>
      <c r="P219" s="27"/>
      <c r="Q219" s="27"/>
      <c r="R219" s="27"/>
      <c r="S219" s="21"/>
      <c r="T219" s="28"/>
      <c r="U219" s="28"/>
      <c r="V219" s="28"/>
      <c r="W219" s="28"/>
      <c r="X219" s="28"/>
      <c r="Y219" s="19"/>
      <c r="Z219" s="18"/>
      <c r="AE219" s="19"/>
      <c r="AH219" s="24"/>
      <c r="AI219" s="30"/>
      <c r="AJ219" s="30"/>
      <c r="AK219" s="30"/>
      <c r="AL219" s="24"/>
      <c r="AM219" s="24"/>
    </row>
    <row r="220" ht="15.75" customHeight="1">
      <c r="B220" s="18"/>
      <c r="C220" s="18"/>
      <c r="D220" s="18"/>
      <c r="E220" s="18"/>
      <c r="F220" s="18"/>
      <c r="G220" s="19"/>
      <c r="H220" s="27"/>
      <c r="I220" s="27"/>
      <c r="J220" s="27"/>
      <c r="K220" s="27"/>
      <c r="L220" s="27"/>
      <c r="M220" s="21"/>
      <c r="N220" s="27"/>
      <c r="O220" s="27"/>
      <c r="P220" s="27"/>
      <c r="Q220" s="27"/>
      <c r="R220" s="27"/>
      <c r="S220" s="21"/>
      <c r="T220" s="28"/>
      <c r="U220" s="28"/>
      <c r="V220" s="28"/>
      <c r="W220" s="28"/>
      <c r="X220" s="28"/>
      <c r="Y220" s="19"/>
      <c r="Z220" s="18"/>
      <c r="AE220" s="19"/>
      <c r="AH220" s="24"/>
      <c r="AI220" s="30"/>
      <c r="AJ220" s="30"/>
      <c r="AK220" s="30"/>
      <c r="AL220" s="24"/>
      <c r="AM220" s="24"/>
    </row>
    <row r="221" ht="15.75" customHeight="1">
      <c r="B221" s="18"/>
      <c r="C221" s="18"/>
      <c r="D221" s="18"/>
      <c r="E221" s="18"/>
      <c r="F221" s="18"/>
      <c r="G221" s="19"/>
      <c r="H221" s="27"/>
      <c r="I221" s="27"/>
      <c r="J221" s="27"/>
      <c r="K221" s="27"/>
      <c r="L221" s="27"/>
      <c r="M221" s="21"/>
      <c r="N221" s="27"/>
      <c r="O221" s="27"/>
      <c r="P221" s="27"/>
      <c r="Q221" s="27"/>
      <c r="R221" s="27"/>
      <c r="S221" s="21"/>
      <c r="T221" s="28"/>
      <c r="U221" s="28"/>
      <c r="V221" s="28"/>
      <c r="W221" s="28"/>
      <c r="X221" s="28"/>
      <c r="Y221" s="19"/>
      <c r="Z221" s="18"/>
      <c r="AE221" s="19"/>
      <c r="AH221" s="24"/>
      <c r="AI221" s="30"/>
      <c r="AJ221" s="30"/>
      <c r="AK221" s="30"/>
      <c r="AL221" s="24"/>
      <c r="AM221" s="24"/>
    </row>
    <row r="222" ht="15.75" customHeight="1">
      <c r="B222" s="18"/>
      <c r="C222" s="18"/>
      <c r="D222" s="18"/>
      <c r="E222" s="18"/>
      <c r="F222" s="18"/>
      <c r="G222" s="19"/>
      <c r="H222" s="27"/>
      <c r="I222" s="27"/>
      <c r="J222" s="27"/>
      <c r="K222" s="27"/>
      <c r="L222" s="27"/>
      <c r="M222" s="21"/>
      <c r="N222" s="27"/>
      <c r="O222" s="27"/>
      <c r="P222" s="27"/>
      <c r="Q222" s="27"/>
      <c r="R222" s="27"/>
      <c r="S222" s="21"/>
      <c r="T222" s="28"/>
      <c r="U222" s="28"/>
      <c r="V222" s="28"/>
      <c r="W222" s="28"/>
      <c r="X222" s="28"/>
      <c r="Y222" s="19"/>
      <c r="Z222" s="18"/>
      <c r="AE222" s="19"/>
      <c r="AH222" s="24"/>
      <c r="AI222" s="30"/>
      <c r="AJ222" s="30"/>
      <c r="AK222" s="30"/>
      <c r="AL222" s="24"/>
      <c r="AM222" s="24"/>
    </row>
    <row r="223" ht="15.75" customHeight="1">
      <c r="B223" s="18"/>
      <c r="C223" s="18"/>
      <c r="D223" s="18"/>
      <c r="E223" s="18"/>
      <c r="F223" s="18"/>
      <c r="G223" s="19"/>
      <c r="H223" s="27"/>
      <c r="I223" s="27"/>
      <c r="J223" s="27"/>
      <c r="K223" s="27"/>
      <c r="L223" s="27"/>
      <c r="M223" s="21"/>
      <c r="N223" s="27"/>
      <c r="O223" s="27"/>
      <c r="P223" s="27"/>
      <c r="Q223" s="27"/>
      <c r="R223" s="27"/>
      <c r="S223" s="21"/>
      <c r="T223" s="28"/>
      <c r="U223" s="28"/>
      <c r="V223" s="28"/>
      <c r="W223" s="28"/>
      <c r="X223" s="28"/>
      <c r="Y223" s="19"/>
      <c r="Z223" s="18"/>
      <c r="AE223" s="19"/>
      <c r="AH223" s="24"/>
      <c r="AI223" s="30"/>
      <c r="AJ223" s="30"/>
      <c r="AK223" s="30"/>
      <c r="AL223" s="24"/>
      <c r="AM223" s="24"/>
    </row>
    <row r="224" ht="15.75" customHeight="1">
      <c r="B224" s="18"/>
      <c r="C224" s="18"/>
      <c r="D224" s="18"/>
      <c r="E224" s="18"/>
      <c r="F224" s="18"/>
      <c r="G224" s="19"/>
      <c r="H224" s="27"/>
      <c r="I224" s="27"/>
      <c r="J224" s="27"/>
      <c r="K224" s="27"/>
      <c r="L224" s="27"/>
      <c r="M224" s="21"/>
      <c r="N224" s="27"/>
      <c r="O224" s="27"/>
      <c r="P224" s="27"/>
      <c r="Q224" s="27"/>
      <c r="R224" s="27"/>
      <c r="S224" s="21"/>
      <c r="T224" s="28"/>
      <c r="U224" s="28"/>
      <c r="V224" s="28"/>
      <c r="W224" s="28"/>
      <c r="X224" s="28"/>
      <c r="Y224" s="19"/>
      <c r="Z224" s="18"/>
      <c r="AE224" s="19"/>
      <c r="AH224" s="24"/>
      <c r="AI224" s="30"/>
      <c r="AJ224" s="30"/>
      <c r="AK224" s="30"/>
      <c r="AL224" s="24"/>
      <c r="AM224" s="24"/>
    </row>
    <row r="225" ht="15.75" customHeight="1">
      <c r="B225" s="18"/>
      <c r="C225" s="18"/>
      <c r="D225" s="18"/>
      <c r="E225" s="18"/>
      <c r="F225" s="18"/>
      <c r="G225" s="19"/>
      <c r="H225" s="27"/>
      <c r="I225" s="27"/>
      <c r="J225" s="27"/>
      <c r="K225" s="27"/>
      <c r="L225" s="27"/>
      <c r="M225" s="21"/>
      <c r="N225" s="27"/>
      <c r="O225" s="27"/>
      <c r="P225" s="27"/>
      <c r="Q225" s="27"/>
      <c r="R225" s="27"/>
      <c r="S225" s="21"/>
      <c r="T225" s="28"/>
      <c r="U225" s="28"/>
      <c r="V225" s="28"/>
      <c r="W225" s="28"/>
      <c r="X225" s="28"/>
      <c r="Y225" s="19"/>
      <c r="Z225" s="18"/>
      <c r="AE225" s="19"/>
      <c r="AH225" s="24"/>
      <c r="AI225" s="30"/>
      <c r="AJ225" s="30"/>
      <c r="AK225" s="30"/>
      <c r="AL225" s="24"/>
      <c r="AM225" s="24"/>
    </row>
    <row r="226" ht="15.75" customHeight="1">
      <c r="B226" s="18"/>
      <c r="C226" s="18"/>
      <c r="D226" s="18"/>
      <c r="E226" s="18"/>
      <c r="F226" s="18"/>
      <c r="G226" s="19"/>
      <c r="H226" s="27"/>
      <c r="I226" s="27"/>
      <c r="J226" s="27"/>
      <c r="K226" s="27"/>
      <c r="L226" s="27"/>
      <c r="M226" s="21"/>
      <c r="N226" s="27"/>
      <c r="O226" s="27"/>
      <c r="P226" s="27"/>
      <c r="Q226" s="27"/>
      <c r="R226" s="27"/>
      <c r="S226" s="21"/>
      <c r="T226" s="28"/>
      <c r="U226" s="28"/>
      <c r="V226" s="28"/>
      <c r="W226" s="28"/>
      <c r="X226" s="28"/>
      <c r="Y226" s="19"/>
      <c r="Z226" s="18"/>
      <c r="AE226" s="19"/>
      <c r="AH226" s="24"/>
      <c r="AI226" s="30"/>
      <c r="AJ226" s="30"/>
      <c r="AK226" s="30"/>
      <c r="AL226" s="24"/>
      <c r="AM226" s="24"/>
    </row>
    <row r="227" ht="15.75" customHeight="1">
      <c r="B227" s="18"/>
      <c r="C227" s="18"/>
      <c r="D227" s="18"/>
      <c r="E227" s="18"/>
      <c r="F227" s="18"/>
      <c r="G227" s="19"/>
      <c r="H227" s="27"/>
      <c r="I227" s="27"/>
      <c r="J227" s="27"/>
      <c r="K227" s="27"/>
      <c r="L227" s="27"/>
      <c r="M227" s="21"/>
      <c r="N227" s="27"/>
      <c r="O227" s="27"/>
      <c r="P227" s="27"/>
      <c r="Q227" s="27"/>
      <c r="R227" s="27"/>
      <c r="S227" s="21"/>
      <c r="T227" s="28"/>
      <c r="U227" s="28"/>
      <c r="V227" s="28"/>
      <c r="W227" s="28"/>
      <c r="X227" s="28"/>
      <c r="Y227" s="19"/>
      <c r="Z227" s="18"/>
      <c r="AE227" s="19"/>
      <c r="AH227" s="24"/>
      <c r="AI227" s="30"/>
      <c r="AJ227" s="30"/>
      <c r="AK227" s="30"/>
      <c r="AL227" s="24"/>
      <c r="AM227" s="24"/>
    </row>
    <row r="228" ht="15.75" customHeight="1">
      <c r="B228" s="18"/>
      <c r="C228" s="18"/>
      <c r="D228" s="18"/>
      <c r="E228" s="18"/>
      <c r="F228" s="18"/>
      <c r="G228" s="19"/>
      <c r="H228" s="27"/>
      <c r="I228" s="27"/>
      <c r="J228" s="27"/>
      <c r="K228" s="27"/>
      <c r="L228" s="27"/>
      <c r="M228" s="21"/>
      <c r="N228" s="27"/>
      <c r="O228" s="27"/>
      <c r="P228" s="27"/>
      <c r="Q228" s="27"/>
      <c r="R228" s="27"/>
      <c r="S228" s="21"/>
      <c r="T228" s="28"/>
      <c r="U228" s="28"/>
      <c r="V228" s="28"/>
      <c r="W228" s="28"/>
      <c r="X228" s="28"/>
      <c r="Y228" s="19"/>
      <c r="Z228" s="18"/>
      <c r="AE228" s="19"/>
      <c r="AH228" s="24"/>
      <c r="AI228" s="30"/>
      <c r="AJ228" s="30"/>
      <c r="AK228" s="30"/>
      <c r="AL228" s="24"/>
      <c r="AM228" s="24"/>
    </row>
    <row r="229" ht="15.75" customHeight="1">
      <c r="B229" s="18"/>
      <c r="C229" s="18"/>
      <c r="D229" s="18"/>
      <c r="E229" s="18"/>
      <c r="F229" s="18"/>
      <c r="G229" s="19"/>
      <c r="H229" s="27"/>
      <c r="I229" s="27"/>
      <c r="J229" s="27"/>
      <c r="K229" s="27"/>
      <c r="L229" s="27"/>
      <c r="M229" s="21"/>
      <c r="N229" s="27"/>
      <c r="O229" s="27"/>
      <c r="P229" s="27"/>
      <c r="Q229" s="27"/>
      <c r="R229" s="27"/>
      <c r="S229" s="21"/>
      <c r="T229" s="28"/>
      <c r="U229" s="28"/>
      <c r="V229" s="28"/>
      <c r="W229" s="28"/>
      <c r="X229" s="28"/>
      <c r="Y229" s="19"/>
      <c r="Z229" s="18"/>
      <c r="AE229" s="19"/>
      <c r="AH229" s="24"/>
      <c r="AI229" s="30"/>
      <c r="AJ229" s="30"/>
      <c r="AK229" s="30"/>
      <c r="AL229" s="24"/>
      <c r="AM229" s="24"/>
    </row>
    <row r="230" ht="15.75" customHeight="1">
      <c r="B230" s="18"/>
      <c r="C230" s="18"/>
      <c r="D230" s="18"/>
      <c r="E230" s="18"/>
      <c r="F230" s="18"/>
      <c r="G230" s="19"/>
      <c r="H230" s="27"/>
      <c r="I230" s="27"/>
      <c r="J230" s="27"/>
      <c r="K230" s="27"/>
      <c r="L230" s="27"/>
      <c r="M230" s="21"/>
      <c r="N230" s="27"/>
      <c r="O230" s="27"/>
      <c r="P230" s="27"/>
      <c r="Q230" s="27"/>
      <c r="R230" s="27"/>
      <c r="S230" s="21"/>
      <c r="T230" s="28"/>
      <c r="U230" s="28"/>
      <c r="V230" s="28"/>
      <c r="W230" s="28"/>
      <c r="X230" s="28"/>
      <c r="Y230" s="19"/>
      <c r="Z230" s="18"/>
      <c r="AE230" s="19"/>
      <c r="AH230" s="24"/>
      <c r="AI230" s="30"/>
      <c r="AJ230" s="30"/>
      <c r="AK230" s="30"/>
      <c r="AL230" s="24"/>
      <c r="AM230" s="24"/>
    </row>
    <row r="231" ht="15.75" customHeight="1">
      <c r="B231" s="18"/>
      <c r="C231" s="18"/>
      <c r="D231" s="18"/>
      <c r="E231" s="18"/>
      <c r="F231" s="18"/>
      <c r="G231" s="19"/>
      <c r="H231" s="27"/>
      <c r="I231" s="27"/>
      <c r="J231" s="27"/>
      <c r="K231" s="27"/>
      <c r="L231" s="27"/>
      <c r="M231" s="21"/>
      <c r="N231" s="27"/>
      <c r="O231" s="27"/>
      <c r="P231" s="27"/>
      <c r="Q231" s="27"/>
      <c r="R231" s="27"/>
      <c r="S231" s="21"/>
      <c r="T231" s="28"/>
      <c r="U231" s="28"/>
      <c r="V231" s="28"/>
      <c r="W231" s="28"/>
      <c r="X231" s="28"/>
      <c r="Y231" s="19"/>
      <c r="Z231" s="18"/>
      <c r="AE231" s="19"/>
      <c r="AH231" s="24"/>
      <c r="AI231" s="30"/>
      <c r="AJ231" s="30"/>
      <c r="AK231" s="30"/>
      <c r="AL231" s="24"/>
      <c r="AM231" s="24"/>
    </row>
    <row r="232" ht="15.75" customHeight="1">
      <c r="B232" s="18"/>
      <c r="C232" s="18"/>
      <c r="D232" s="18"/>
      <c r="E232" s="18"/>
      <c r="F232" s="18"/>
      <c r="G232" s="19"/>
      <c r="H232" s="27"/>
      <c r="I232" s="27"/>
      <c r="J232" s="27"/>
      <c r="K232" s="27"/>
      <c r="L232" s="27"/>
      <c r="M232" s="21"/>
      <c r="N232" s="27"/>
      <c r="O232" s="27"/>
      <c r="P232" s="27"/>
      <c r="Q232" s="27"/>
      <c r="R232" s="27"/>
      <c r="S232" s="21"/>
      <c r="T232" s="28"/>
      <c r="U232" s="28"/>
      <c r="V232" s="28"/>
      <c r="W232" s="28"/>
      <c r="X232" s="28"/>
      <c r="Y232" s="19"/>
      <c r="Z232" s="18"/>
      <c r="AE232" s="19"/>
      <c r="AH232" s="24"/>
      <c r="AI232" s="30"/>
      <c r="AJ232" s="30"/>
      <c r="AK232" s="30"/>
      <c r="AL232" s="24"/>
      <c r="AM232" s="24"/>
    </row>
    <row r="233" ht="15.75" customHeight="1">
      <c r="B233" s="18"/>
      <c r="C233" s="18"/>
      <c r="D233" s="18"/>
      <c r="E233" s="18"/>
      <c r="F233" s="18"/>
      <c r="G233" s="19"/>
      <c r="H233" s="27"/>
      <c r="I233" s="27"/>
      <c r="J233" s="27"/>
      <c r="K233" s="27"/>
      <c r="L233" s="27"/>
      <c r="M233" s="21"/>
      <c r="N233" s="27"/>
      <c r="O233" s="27"/>
      <c r="P233" s="27"/>
      <c r="Q233" s="27"/>
      <c r="R233" s="27"/>
      <c r="S233" s="21"/>
      <c r="T233" s="28"/>
      <c r="U233" s="28"/>
      <c r="V233" s="28"/>
      <c r="W233" s="28"/>
      <c r="X233" s="28"/>
      <c r="Y233" s="19"/>
      <c r="Z233" s="18"/>
      <c r="AE233" s="19"/>
      <c r="AH233" s="24"/>
      <c r="AI233" s="30"/>
      <c r="AJ233" s="30"/>
      <c r="AK233" s="30"/>
      <c r="AL233" s="24"/>
      <c r="AM233" s="2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</hyperlinks>
  <drawing r:id="rId2"/>
</worksheet>
</file>